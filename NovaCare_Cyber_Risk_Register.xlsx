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hatgpt prep\grc\grc chatgpt\novacare capstone\"/>
    </mc:Choice>
  </mc:AlternateContent>
  <xr:revisionPtr revIDLastSave="0" documentId="8_{53654FF8-FB8B-4EEC-BCE7-7D699EDDDAE1}" xr6:coauthVersionLast="47" xr6:coauthVersionMax="47" xr10:uidLastSave="{00000000-0000-0000-0000-000000000000}"/>
  <bookViews>
    <workbookView xWindow="-108" yWindow="-108" windowWidth="23256" windowHeight="12456" tabRatio="500" firstSheet="3" activeTab="5" xr2:uid="{00000000-000D-0000-FFFF-FFFF00000000}"/>
  </bookViews>
  <sheets>
    <sheet name="Risk_Register" sheetId="1" r:id="rId1"/>
    <sheet name="Risk_Treatment_Plan" sheetId="2" r:id="rId2"/>
    <sheet name="Assumptions" sheetId="3" r:id="rId3"/>
    <sheet name="Exception_Register" sheetId="4" r:id="rId4"/>
    <sheet name="ISO27001_Gap_Assessment" sheetId="6" r:id="rId5"/>
    <sheet name="Remediation_Plan" sheetId="7" r:id="rId6"/>
    <sheet name="Dashboard"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7" l="1"/>
  <c r="B2" i="7"/>
  <c r="G18" i="7"/>
  <c r="F18" i="7"/>
  <c r="E18" i="7"/>
  <c r="D18" i="7"/>
  <c r="C18" i="7"/>
  <c r="B18" i="7"/>
  <c r="G17" i="7"/>
  <c r="F17" i="7"/>
  <c r="E17" i="7"/>
  <c r="D17" i="7"/>
  <c r="C17" i="7"/>
  <c r="B17" i="7"/>
  <c r="G16" i="7"/>
  <c r="F16" i="7"/>
  <c r="E16" i="7"/>
  <c r="D16" i="7"/>
  <c r="C16" i="7"/>
  <c r="B16" i="7"/>
  <c r="G15" i="7"/>
  <c r="F15" i="7"/>
  <c r="E15" i="7"/>
  <c r="D15" i="7"/>
  <c r="C15" i="7"/>
  <c r="B15" i="7"/>
  <c r="G14" i="7"/>
  <c r="F14" i="7"/>
  <c r="E14" i="7"/>
  <c r="D14" i="7"/>
  <c r="C14" i="7"/>
  <c r="B14" i="7"/>
  <c r="G13" i="7"/>
  <c r="F13" i="7"/>
  <c r="E13" i="7"/>
  <c r="D13" i="7"/>
  <c r="C13" i="7"/>
  <c r="B13" i="7"/>
  <c r="G12" i="7"/>
  <c r="F12" i="7"/>
  <c r="E12" i="7"/>
  <c r="D12" i="7"/>
  <c r="C12" i="7"/>
  <c r="B12" i="7"/>
  <c r="G11" i="7"/>
  <c r="F11" i="7"/>
  <c r="E11" i="7"/>
  <c r="D11" i="7"/>
  <c r="C11" i="7"/>
  <c r="B11" i="7"/>
  <c r="G10" i="7"/>
  <c r="F10" i="7"/>
  <c r="E10" i="7"/>
  <c r="D10" i="7"/>
  <c r="C10" i="7"/>
  <c r="B10" i="7"/>
  <c r="G9" i="7"/>
  <c r="F9" i="7"/>
  <c r="E9" i="7"/>
  <c r="D9" i="7"/>
  <c r="C9" i="7"/>
  <c r="B9" i="7"/>
  <c r="G8" i="7"/>
  <c r="F8" i="7"/>
  <c r="E8" i="7"/>
  <c r="D8" i="7"/>
  <c r="C8" i="7"/>
  <c r="B8" i="7"/>
  <c r="G7" i="7"/>
  <c r="F7" i="7"/>
  <c r="E7" i="7"/>
  <c r="D7" i="7"/>
  <c r="C7" i="7"/>
  <c r="B7" i="7"/>
  <c r="G6" i="7"/>
  <c r="F6" i="7"/>
  <c r="E6" i="7"/>
  <c r="D6" i="7"/>
  <c r="C6" i="7"/>
  <c r="B6" i="7"/>
  <c r="G5" i="7"/>
  <c r="F5" i="7"/>
  <c r="E5" i="7"/>
  <c r="D5" i="7"/>
  <c r="C5" i="7"/>
  <c r="B5" i="7"/>
  <c r="G4" i="7"/>
  <c r="E4" i="7"/>
  <c r="D4" i="7"/>
  <c r="C4" i="7"/>
  <c r="F4" i="7"/>
  <c r="B4" i="7"/>
  <c r="I18" i="7"/>
  <c r="I17" i="7"/>
  <c r="I16" i="7"/>
  <c r="I15" i="7"/>
  <c r="I14" i="7"/>
  <c r="I13" i="7"/>
  <c r="I12" i="7"/>
  <c r="I11" i="7"/>
  <c r="I10" i="7"/>
  <c r="I9" i="7"/>
  <c r="I8" i="7"/>
  <c r="I7" i="7"/>
  <c r="I6" i="7"/>
  <c r="I5" i="7"/>
  <c r="I4" i="7"/>
  <c r="I3" i="7"/>
  <c r="I2" i="7"/>
  <c r="G3" i="7"/>
  <c r="F3" i="7"/>
  <c r="E3" i="7"/>
  <c r="D3" i="7"/>
  <c r="C3" i="7"/>
  <c r="G2" i="7"/>
  <c r="F2" i="7"/>
  <c r="E2" i="7"/>
  <c r="D2" i="7"/>
  <c r="C2" i="7"/>
  <c r="I4" i="6"/>
  <c r="I3" i="6"/>
  <c r="I2" i="6"/>
  <c r="B9" i="2"/>
  <c r="B8" i="2"/>
  <c r="B7" i="2"/>
  <c r="B6" i="2"/>
  <c r="B5" i="2"/>
  <c r="B4" i="2"/>
  <c r="B3" i="2"/>
  <c r="B2" i="2"/>
  <c r="F5" i="5"/>
  <c r="E24" i="5"/>
  <c r="E23" i="5"/>
  <c r="E22" i="5"/>
  <c r="E21" i="5"/>
  <c r="C24" i="5"/>
  <c r="C23" i="5"/>
  <c r="C22" i="5"/>
  <c r="C21" i="5"/>
  <c r="D12" i="5"/>
  <c r="D11" i="5"/>
  <c r="D10" i="5"/>
  <c r="D9" i="5"/>
  <c r="H17" i="5"/>
  <c r="H16" i="5"/>
  <c r="H15" i="5"/>
  <c r="H10" i="5"/>
  <c r="H9" i="5"/>
  <c r="H5" i="5"/>
  <c r="C5" i="5"/>
  <c r="A5" i="5"/>
  <c r="M2" i="4"/>
  <c r="M3" i="4"/>
  <c r="N3" i="4"/>
  <c r="N2" i="4"/>
  <c r="I9" i="2"/>
  <c r="H9" i="2"/>
  <c r="G9" i="2"/>
  <c r="F9" i="2"/>
  <c r="E9" i="2"/>
  <c r="A9" i="2"/>
  <c r="P9" i="1"/>
  <c r="I8" i="2"/>
  <c r="H8" i="2"/>
  <c r="G8" i="2"/>
  <c r="F8" i="2"/>
  <c r="E8" i="2"/>
  <c r="A8" i="2"/>
  <c r="P8" i="1"/>
  <c r="I7" i="2"/>
  <c r="H7" i="2"/>
  <c r="G7" i="2"/>
  <c r="E7" i="2"/>
  <c r="A7" i="2"/>
  <c r="P7" i="1"/>
  <c r="F7" i="2" s="1"/>
  <c r="I6" i="2"/>
  <c r="H6" i="2"/>
  <c r="G6" i="2"/>
  <c r="E6" i="2"/>
  <c r="A6" i="2"/>
  <c r="I5" i="2"/>
  <c r="H5" i="2"/>
  <c r="G5" i="2"/>
  <c r="E5" i="2"/>
  <c r="A5" i="2"/>
  <c r="P6" i="1"/>
  <c r="F6" i="2" s="1"/>
  <c r="P5" i="1"/>
  <c r="F5" i="2" s="1"/>
  <c r="P4" i="1"/>
  <c r="F4" i="2" s="1"/>
  <c r="P3" i="1"/>
  <c r="F3" i="2" s="1"/>
  <c r="P2" i="1"/>
  <c r="F2" i="2" s="1"/>
  <c r="I4" i="2"/>
  <c r="H4" i="2"/>
  <c r="G4" i="2"/>
  <c r="E4" i="2"/>
  <c r="A4" i="2"/>
  <c r="I3" i="2"/>
  <c r="H3" i="2"/>
  <c r="G3" i="2"/>
  <c r="E3" i="2"/>
  <c r="A3" i="2"/>
  <c r="I2" i="2"/>
  <c r="H2" i="2"/>
  <c r="G2" i="2"/>
  <c r="E2" i="2"/>
  <c r="A2" i="2"/>
</calcChain>
</file>

<file path=xl/sharedStrings.xml><?xml version="1.0" encoding="utf-8"?>
<sst xmlns="http://schemas.openxmlformats.org/spreadsheetml/2006/main" count="508" uniqueCount="331">
  <si>
    <t>Risk ID</t>
  </si>
  <si>
    <t>Asset ID</t>
  </si>
  <si>
    <t>Asset / Process</t>
  </si>
  <si>
    <t>Risk Statement</t>
  </si>
  <si>
    <t>Threat</t>
  </si>
  <si>
    <t>Vulnerability</t>
  </si>
  <si>
    <t>Likelihood</t>
  </si>
  <si>
    <t>Impact</t>
  </si>
  <si>
    <t>Inherent Risk</t>
  </si>
  <si>
    <t>Existing Controls</t>
  </si>
  <si>
    <t>Control Effectiveness</t>
  </si>
  <si>
    <t>Residual Risk</t>
  </si>
  <si>
    <t>Treatment</t>
  </si>
  <si>
    <t>Risk Owner</t>
  </si>
  <si>
    <t>Action Owner</t>
  </si>
  <si>
    <t>Due Date</t>
  </si>
  <si>
    <t>Status</t>
  </si>
  <si>
    <t>Evidence Required</t>
  </si>
  <si>
    <t>Verification</t>
  </si>
  <si>
    <t>Baseline version</t>
  </si>
  <si>
    <t>R-001</t>
  </si>
  <si>
    <t>AST-002</t>
  </si>
  <si>
    <t>Customer Portal / WEB-PROD-01</t>
  </si>
  <si>
    <t>An external attacker could exploit the internet-facing RCE vulnerability to gain unauthorized access to the customer portal, potentially exposing customer personal data and disrupting a critical customer service.</t>
  </si>
  <si>
    <t>External attacker</t>
  </si>
  <si>
    <t>Known RCE vulnerability in internet-facing application</t>
  </si>
  <si>
    <t>High</t>
  </si>
  <si>
    <t>WAF deployed</t>
  </si>
  <si>
    <t>Effectiveness pending validation</t>
  </si>
  <si>
    <t>Pending validation</t>
  </si>
  <si>
    <t>Expedite patching and validate WAF protection; reassess residual risk after evidence is obtained</t>
  </si>
  <si>
    <t>Customer Digital Services Manager</t>
  </si>
  <si>
    <t>Infrastructure Team</t>
  </si>
  <si>
    <t>Open</t>
  </si>
  <si>
    <t>WAF configuration/rule evidence; vulnerability scan; patch/remediation plan; relevant security logs or validation results</t>
  </si>
  <si>
    <t>Re-scan the asset and confirm the vulnerability is remediated; validate WAF protection and update residual risk</t>
  </si>
  <si>
    <t>v1.1 — R-003 scenario intentionally updated after user confirmation on 12 Oct 2026; R-001 and R-002 unchanged. R-003 ratings are provisional until treatment/evidence review.</t>
  </si>
  <si>
    <t>R-002</t>
  </si>
  <si>
    <t>AST-003</t>
  </si>
  <si>
    <t>Finance Database / FIN-DB-01</t>
  </si>
  <si>
    <t>An external attacker could exploit the high-severity vulnerability through the finance application server to gain unauthorized access to the finance database, potentially exposing sensitive financial information.</t>
  </si>
  <si>
    <t>High-severity vulnerability on finance database</t>
  </si>
  <si>
    <t>Medium</t>
  </si>
  <si>
    <t>Network segmentation; only authorized finance application server can communicate with the database</t>
  </si>
  <si>
    <t>Effective</t>
  </si>
  <si>
    <t>Patch the vulnerability and maintain network segmentation; reassess residual risk after remediation</t>
  </si>
  <si>
    <t>Finance Application Manager</t>
  </si>
  <si>
    <t>Database/Infrastructure Team</t>
  </si>
  <si>
    <t>Network/firewall configuration; access-control test result; vulnerability scan; patch evidence</t>
  </si>
  <si>
    <t>Re-scan the database and verify unauthorized network access remains blocked; confirm vulnerability is remediated and update residual risk</t>
  </si>
  <si>
    <t>R-003</t>
  </si>
  <si>
    <t>AST-004</t>
  </si>
  <si>
    <t>NovaCare Privileged and Service Accounts</t>
  </si>
  <si>
    <t>The five privileged service accounts exempt from MFA have broad administrative privileges. Without network restrictions and with monitoring alerts not routinely reviewed, an attacker who compromises an account could gain unauthorised privileged access to critical systems.</t>
  </si>
  <si>
    <t>Attacker</t>
  </si>
  <si>
    <t>Five privileged service accounts are exempt from MFA; broad administrative privileges; no network restrictions; monitoring alerts are generated but are not routinely reviewed.</t>
  </si>
  <si>
    <t>MFA enabled for 20 of 25 privileged accounts. For the five exempt service accounts, network restrictions are absent and monitoring alerts are not routinely reviewed; effective compensating controls are not demonstrated.</t>
  </si>
  <si>
    <t>Ineffective / insufficient</t>
  </si>
  <si>
    <t>High (provisional; reassess after treatment and verification)</t>
  </si>
  <si>
    <t>Prioritise reducing privileges and restricting service-account access; assess feasible stronger authentication or replacement options; implement monitored alert review; document a time-bound exception only if authorised and justified; reassess residual risk after verification.</t>
  </si>
  <si>
    <t>IT Security Manager</t>
  </si>
  <si>
    <t>IAM Team</t>
  </si>
  <si>
    <t>Open - treatment required</t>
  </si>
  <si>
    <t>Current service-account inventory and privilege list; MFA exception approvals and rationale; network/security configuration confirming restrictions are absent; monitoring/alert configuration and evidence of alert review; proposed remediation plan and risk-owner decision.</t>
  </si>
  <si>
    <t>Verify least-privilege changes and any network restrictions through configuration review and appropriate tests; test that alerts reach a named reviewer and are acted on; verify authentication controls; reassess residual risk and document evidence before closure.</t>
  </si>
  <si>
    <t>Treatment Decision</t>
  </si>
  <si>
    <t>Planned Control / Action</t>
  </si>
  <si>
    <t>Responsible Action Owner</t>
  </si>
  <si>
    <t>Target Date</t>
  </si>
  <si>
    <t>Verification Method</t>
  </si>
  <si>
    <t>Mitigate</t>
  </si>
  <si>
    <t>Expedite patching of the RCE vulnerability; validate that the WAF rules cover it.</t>
  </si>
  <si>
    <t>Patch the vulnerability and maintain network segmentation between the finance application server and the database.</t>
  </si>
  <si>
    <t>Mitigate (time-bound exception only if authorised and justified)</t>
  </si>
  <si>
    <t>Reduce privileges and restrict network access for the five exempt service accounts; assess stronger authentication or replacement; implement monitored alert review with a named reviewer.</t>
  </si>
  <si>
    <t>Note (v1.2): Action Owner, Target Date, Evidence Required, Verification Method and Status are linked to Risk_Register so the two sheets stay in sync. Treatment Decision and Planned Control / Action are entered text drawn from the register's Treatment column.</t>
  </si>
  <si>
    <t>Assumptions (edit the blue cells only)</t>
  </si>
  <si>
    <t>Assessment date</t>
  </si>
  <si>
    <t>Assumption: 12 Oct 2026, the date the register baseline was confirmed (see Baseline version note on Risk_Register). Change this cell and every due date updates.</t>
  </si>
  <si>
    <t>Remediation window (days from assessment)</t>
  </si>
  <si>
    <t>R-004</t>
  </si>
  <si>
    <t>AST-005</t>
  </si>
  <si>
    <t>Backup and Recovery System</t>
  </si>
  <si>
    <t>A ransomware attack could encrypt or delete NovaCare's backup copies, preventing recovery of critical systems and data and prolonging business disruption.</t>
  </si>
  <si>
    <t>Ransomware operator</t>
  </si>
  <si>
    <t>Backups are not stored offline or immutably, and restore tests are not performed regularly.</t>
  </si>
  <si>
    <t>Daily backups to a separate backup server with restricted administrator access. No offline or immutable copy. Restore tests not performed regularly.</t>
  </si>
  <si>
    <t>Partially effective</t>
  </si>
  <si>
    <t>Create an offline or immutable backup copy; schedule regular restore tests; restrict and monitor backup administrator access; reassess residual risk after testing.</t>
  </si>
  <si>
    <t>IT Operations Manager</t>
  </si>
  <si>
    <t>Backup Administrator</t>
  </si>
  <si>
    <t>Backup configuration; evidence of offline or immutable copy; restore test results; backup admin access list.</t>
  </si>
  <si>
    <t>Perform a test restore of a critical system and confirm it completes within the recovery requirement; verify the offline or immutable copy cannot be altered by normal admin accounts; update residual risk.</t>
  </si>
  <si>
    <t>R-005</t>
  </si>
  <si>
    <t>AST-006</t>
  </si>
  <si>
    <t>Employee Endpoint Devices</t>
  </si>
  <si>
    <t>Malware or ransomware could run on an employee endpoint that is not covered by EDR, go undetected and spread to other systems, exposing business information and disrupting operations.</t>
  </si>
  <si>
    <t>Malware / ransomware operator</t>
  </si>
  <si>
    <t>EDR is deployed on most managed endpoints but coverage is incomplete, so some devices have no behavioural detection or central visibility.</t>
  </si>
  <si>
    <t>Antivirus and operating system patching on managed endpoints; EDR deployed on part of the estate. No confirmed coverage report for all devices.</t>
  </si>
  <si>
    <t>Extend EDR to all managed endpoints; maintain an endpoint inventory and a coverage report; isolate or restrict unmanaged devices; reassess residual risk after rollout.</t>
  </si>
  <si>
    <t>Endpoint Management Team</t>
  </si>
  <si>
    <t>Endpoint inventory; EDR coverage report showing covered and uncovered devices; rollout plan; evidence of alert handling for newly covered devices.</t>
  </si>
  <si>
    <t>Compare the endpoint inventory with the EDR console and confirm 100% of managed endpoints report in; run a detection test on a sample device; update residual risk.</t>
  </si>
  <si>
    <t xml:space="preserve">Mitigate </t>
  </si>
  <si>
    <t>Create an offline or immutable backup copy; schedule regular restore tests; restrict and monitor backup administrator access.</t>
  </si>
  <si>
    <t>Extend EDR to all managed endpoints; maintain an endpoint inventory and coverage report; isolate or restrict unmanaged devices.</t>
  </si>
  <si>
    <t>R-006</t>
  </si>
  <si>
    <t>AST-007</t>
  </si>
  <si>
    <t>Third-Party IT Supplier Service</t>
  </si>
  <si>
    <t>A compromise of the third-party IT supplier, or misuse of its access, could allow an attacker to reach NovaCare systems and data, causing unauthorised changes, data exposure or loss of an important service.</t>
  </si>
  <si>
    <t>Supplier compromise / malicious or negligent supplier access</t>
  </si>
  <si>
    <t>The supplier has remote access to NovaCare systems, and its security is not reviewed regularly; the contract has no security audit or incident notification requirements.</t>
  </si>
  <si>
    <t>Supplier contract with a confidentiality clause; supplier access limited to named accounts. No periodic security review, no contractual incident notification, and supplier activity is not routinely reviewed.</t>
  </si>
  <si>
    <t>Perform a supplier security assessment; add security and incident notification clauses to the contract; apply least-privilege and time-limited supplier access with MFA; review supplier access and activity regularly; reassess residual risk.</t>
  </si>
  <si>
    <t>IT Vendor Manager</t>
  </si>
  <si>
    <t>IT Operations Team</t>
  </si>
  <si>
    <t>Supplier security assessment or certification evidence; contract clauses; supplier access list with privileges; evidence of access and activity reviews.</t>
  </si>
  <si>
    <t>Confirm the supplier assessment is completed and findings are tracked; verify supplier accounts use MFA and least privilege; confirm incident notification terms are in the contract; update residual risk.</t>
  </si>
  <si>
    <t>Perform a supplier security assessment; add security and incident notification clauses to the contract; apply least-privilege, time-limited supplier access with MFA; review supplier access and activity regularly.</t>
  </si>
  <si>
    <t>Scenario assumptions (v1.4, simulated case study; not real NovaCare facts)</t>
  </si>
  <si>
    <t>R-004: Daily backups to a separate server; no offline or immutable copy; restore tests not performed regularly.</t>
  </si>
  <si>
    <t>R-005: Antivirus and patching on managed endpoints; EDR on part of the estate; no complete coverage report.</t>
  </si>
  <si>
    <t>R-006: Supplier has remote access via named accounts; no periodic security review; no contractual incident notification.</t>
  </si>
  <si>
    <t>R-007</t>
  </si>
  <si>
    <t>Remediation windows are set per risk by priority (R-001 21, R-002 14, R-003 30, R-004 21, R-005 30, R-006 30, R-007 21 days). R-004 to R-007 added in v1.4.</t>
  </si>
  <si>
    <t>AST-008</t>
  </si>
  <si>
    <t>Security Logging and Monitoring Platform</t>
  </si>
  <si>
    <t>Security alerts and logs may not be reviewed or may be incomplete, so attacker activity on critical systems could go undetected, delaying response and increasing the damage of an incident.</t>
  </si>
  <si>
    <t>Attacker / malicious insider</t>
  </si>
  <si>
    <t>Alerts are generated but not routinely reviewed; no named reviewer or escalation procedure; log source coverage of critical systems is not confirmed.</t>
  </si>
  <si>
    <t>The platform collects logs and generates alerts. No named reviewer, no routine alert review, and no documented triage or escalation procedure.</t>
  </si>
  <si>
    <t>Assign a named alert reviewer and review frequency; define alert triage and escalation steps; confirm logs cover critical systems (patient database, finance database, privileged accounts); protect logs from alteration; reassess residual risk.</t>
  </si>
  <si>
    <t>Security Operations Team</t>
  </si>
  <si>
    <t>Alert review schedule and named reviewer; sample of reviewed alerts with outcomes; log source coverage list; triage and escalation procedure.</t>
  </si>
  <si>
    <t>Generate a test alert and confirm it reaches the named reviewer and is actioned in the agreed time; compare log sources with the asset inventory; update residual risk.</t>
  </si>
  <si>
    <t>Assign a named alert reviewer and review frequency; define alert triage and escalation steps; confirm log coverage of critical systems; protect logs from alteration.</t>
  </si>
  <si>
    <t>R-007: Platform collects logs and generates alerts; no named reviewer or routine review; log source coverage not confirmed.</t>
  </si>
  <si>
    <t>R-008</t>
  </si>
  <si>
    <t>AST-001</t>
  </si>
  <si>
    <t>NovaCare Patient Database</t>
  </si>
  <si>
    <t>A malicious insider or a compromised staff account could access or change patient records beyond what their role needs, exposing sensitive patient data and affecting patient care and trust.</t>
  </si>
  <si>
    <t>Malicious insider / compromised staff account</t>
  </si>
  <si>
    <t>User access rights are not reviewed periodically, so some users may keep broader access than they need; access to patient records is not routinely reviewed.</t>
  </si>
  <si>
    <t>Role-based access and authentication for clinical staff; access to the database is logged. No periodic user access review and no routine review of access logs.</t>
  </si>
  <si>
    <t>Introduce periodic user access reviews; apply least privilege and remove unused accounts; review access logs for patient records on a regular schedule; reassess residual risk.</t>
  </si>
  <si>
    <t>Head of Clinical Operations</t>
  </si>
  <si>
    <t>Database Administrator</t>
  </si>
  <si>
    <t>User access list with roles; access review records and approvals; removed or adjusted accounts; sample of reviewed access logs.</t>
  </si>
  <si>
    <t>Compare the access list with job roles and confirm excess access is removed; confirm access reviews take place on the agreed schedule; update residual risk.</t>
  </si>
  <si>
    <t>Introduce periodic user access reviews; apply least privilege and remove unused accounts; review access logs for patient records on a regular schedule.</t>
  </si>
  <si>
    <t>Exception ID</t>
  </si>
  <si>
    <t>Linked Risk ID</t>
  </si>
  <si>
    <t>Exception Description</t>
  </si>
  <si>
    <t>Requirement Not Met</t>
  </si>
  <si>
    <t>Business Justification</t>
  </si>
  <si>
    <t>Compensating Controls</t>
  </si>
  <si>
    <t>Compensating Controls Status</t>
  </si>
  <si>
    <t>Approver</t>
  </si>
  <si>
    <t>Approval Status</t>
  </si>
  <si>
    <t>Date Raised</t>
  </si>
  <si>
    <t>Review / Expiry Date</t>
  </si>
  <si>
    <t>Closure Criteria</t>
  </si>
  <si>
    <t>EX-001</t>
  </si>
  <si>
    <t>Five of the 25 privileged accounts (service accounts) are exempt from MFA and have broad administrative privileges.</t>
  </si>
  <si>
    <t>MFA is required for all privileged accounts.</t>
  </si>
  <si>
    <t>Not yet implemented; effectiveness not demonstrated.</t>
  </si>
  <si>
    <t>High (provisional)</t>
  </si>
  <si>
    <t>Service-account inventory and privilege list; exception approval and rationale; network restriction configuration; evidence of alert review by the named reviewer.</t>
  </si>
  <si>
    <t>Exempt accounts replaced or brought under stronger authentication; or the exception is approved, time-bound, with compensating controls verified.</t>
  </si>
  <si>
    <t>The five service accounts support automated processes that cannot complete interactive MFA.</t>
  </si>
  <si>
    <t>Required before approval: restrict network access to approved sources; reduce privileges to the minimum needed; assign a named reviewer for monitoring alerts on these accounts.</t>
  </si>
  <si>
    <t>To be assigned (senior approver)</t>
  </si>
  <si>
    <t>Pending</t>
  </si>
  <si>
    <t>EX-002</t>
  </si>
  <si>
    <t>A high-severity vulnerability on the finance database (FIN-DB-01) cannot be patched immediately and remains open until the patch is applied.</t>
  </si>
  <si>
    <t>High-severity vulnerabilities on critical systems are patched promptly.</t>
  </si>
  <si>
    <t>The patch must be tested with the finance application and applied in an approved change window, so it cannot be deployed immediately without risking finance operations.</t>
  </si>
  <si>
    <t>Network segmentation is in place: only the authorised finance application server can communicate with the database. Access is limited to approved finance personnel.</t>
  </si>
  <si>
    <t>In place; assessed as effective in the risk register (R-002).</t>
  </si>
  <si>
    <t>Network and firewall configuration; access-control test result; vulnerability scan; patch evidence once applied.</t>
  </si>
  <si>
    <t>The vulnerability is patched and confirmed by a re-scan, or the exception is reviewed and renewed before the expiry date.</t>
  </si>
  <si>
    <t>NOVACARE | CYBER RISK MANAGEMENT DASHBOARD</t>
  </si>
  <si>
    <t>Simulated Case Study | Management Risk Overview</t>
  </si>
  <si>
    <t>TOTAL RISKS</t>
  </si>
  <si>
    <t>HIGH INHERENT RISKS</t>
  </si>
  <si>
    <t>OPEN RISKS</t>
  </si>
  <si>
    <t>CLOSED RISKS</t>
  </si>
  <si>
    <t>Low</t>
  </si>
  <si>
    <t>Action Summary</t>
  </si>
  <si>
    <t>Open Actions</t>
  </si>
  <si>
    <t>Completed  Actions</t>
  </si>
  <si>
    <t>EXCEPTION SUMMARY</t>
  </si>
  <si>
    <t>Open Exceptions</t>
  </si>
  <si>
    <t>Pending Approval</t>
  </si>
  <si>
    <t>Expiring ≤30 Days</t>
  </si>
  <si>
    <t>Dashboard reporting assumption</t>
  </si>
  <si>
    <r>
      <rPr>
        <b/>
        <sz val="11"/>
        <color theme="1"/>
        <rFont val="Aptos Narrow"/>
        <family val="2"/>
      </rPr>
      <t>Exception Review Window</t>
    </r>
    <r>
      <rPr>
        <sz val="11"/>
        <color theme="1"/>
        <rFont val="Aptos Narrow"/>
        <family val="2"/>
        <charset val="1"/>
      </rPr>
      <t>: Exceptions with an expiry or review date falling within the next 30 calendar days are flagged for management attention. This is a portfolio reporting threshold, not a regulatory deadline.</t>
    </r>
  </si>
  <si>
    <t>COUNT</t>
  </si>
  <si>
    <r>
      <t>RESIDUAL RISK SUMMARY</t>
    </r>
    <r>
      <rPr>
        <b/>
        <sz val="11"/>
        <color theme="1"/>
        <rFont val="Aptos Narrow"/>
        <family val="2"/>
        <charset val="1"/>
      </rPr>
      <t>.</t>
    </r>
  </si>
  <si>
    <t>Risk Rating</t>
  </si>
  <si>
    <t xml:space="preserve"> </t>
  </si>
  <si>
    <t xml:space="preserve">Inherent Risk  </t>
  </si>
  <si>
    <t>Control Ref</t>
  </si>
  <si>
    <t>Control Name</t>
  </si>
  <si>
    <t>Current State</t>
  </si>
  <si>
    <t>Gap Identified</t>
  </si>
  <si>
    <t>Gap Severity</t>
  </si>
  <si>
    <t>Recommended Action</t>
  </si>
  <si>
    <t>Owner</t>
  </si>
  <si>
    <t>A.8.5</t>
  </si>
  <si>
    <t>Secure authentication</t>
  </si>
  <si>
    <t>A.8.2</t>
  </si>
  <si>
    <t>Privileged access rights</t>
  </si>
  <si>
    <t>A.5.18</t>
  </si>
  <si>
    <t>Access rights</t>
  </si>
  <si>
    <t>A.8.8</t>
  </si>
  <si>
    <t>Management of technical vulnerabilities</t>
  </si>
  <si>
    <t>A.8.22</t>
  </si>
  <si>
    <t>Segregation of networks</t>
  </si>
  <si>
    <t>A.8.7</t>
  </si>
  <si>
    <t>Protection against malware</t>
  </si>
  <si>
    <r>
      <rPr>
        <b/>
        <sz val="11"/>
        <color theme="1"/>
        <rFont val="Aptos Narrow"/>
        <family val="2"/>
      </rPr>
      <t>ISO 27001 assessment</t>
    </r>
    <r>
      <rPr>
        <sz val="11"/>
        <color theme="1"/>
        <rFont val="Aptos Narrow"/>
        <family val="2"/>
        <charset val="1"/>
      </rPr>
      <t>: selected Annex A (2022) controls linked to the 8 risks; not a full certification audit. Current states are scenario assumptions consistent with the risk register.</t>
    </r>
  </si>
  <si>
    <t>Internet-facing customer portal has an RCE vulnerability; WAF deployed, effectiveness pending validation</t>
  </si>
  <si>
    <t>Known RCE vulnerability requires remediation; WAF effectiveness has not been validated</t>
  </si>
  <si>
    <t>Remediate the RCE vulnerability, validate WAF protection, and verify remediation</t>
  </si>
  <si>
    <t>Vulnerability scan results; WAF validation results; patch/remediation record</t>
  </si>
  <si>
    <t>A.8.20</t>
  </si>
  <si>
    <t>Network security</t>
  </si>
  <si>
    <t>Customer portal is internet-facing; WAF deployed, effectiveness pending validation</t>
  </si>
  <si>
    <t>Effectiveness of network security protections against the identified RCE risk has not been confirmed</t>
  </si>
  <si>
    <t>Review network security configuration and validate protections for the customer portal</t>
  </si>
  <si>
    <t>Network architecture; firewall rules; network security configuration and test evidence</t>
  </si>
  <si>
    <t>Network segmentation details for the customer portal are not provided</t>
  </si>
  <si>
    <t>Not assessed</t>
  </si>
  <si>
    <t>Insufficient scenario evidence to establish a network segregation gap</t>
  </si>
  <si>
    <t>Review network architecture and determine whether segmentation is applicable and effective</t>
  </si>
  <si>
    <t>Network diagram; segmentation rules; configuration evidence</t>
  </si>
  <si>
    <t>High-severity vulnerability on the finance application server; network segmentation restricts database communication to the authorised finance application server</t>
  </si>
  <si>
    <t>Relevant</t>
  </si>
  <si>
    <t>Vulnerability remediation remains necessary; network segmentation is reported effective</t>
  </si>
  <si>
    <t>Remediate the vulnerability and verify the fix through a vulnerability scan</t>
  </si>
  <si>
    <t>Vulnerability scan results; patch record; verification scan</t>
  </si>
  <si>
    <t>Finance database accessible only from the authorised finance application server</t>
  </si>
  <si>
    <t>Existing segmentation reported effective; no confirmed gap identified</t>
  </si>
  <si>
    <t>Retain segmentation and periodically verify authorised connectivity</t>
  </si>
  <si>
    <t>Network diagram; segmentation rules; connectivity test results</t>
  </si>
  <si>
    <t>Five privileged service accounts have broad administrative privileges</t>
  </si>
  <si>
    <t>Excessive administrative privileges increase the impact if an account is compromised</t>
  </si>
  <si>
    <t>Review and reduce privileges to the minimum required</t>
  </si>
  <si>
    <t>Service account inventory; privilege assignments; access review evidence</t>
  </si>
  <si>
    <t>Five privileged service accounts are exempt from MFA</t>
  </si>
  <si>
    <t>MFA is not enabled for the five privileged service accounts</t>
  </si>
  <si>
    <t>Implement appropriate strong authentication and verify its effectiveness</t>
  </si>
  <si>
    <t>Service account inventory; MFA configuration; authentication policy; verification evidence</t>
  </si>
  <si>
    <t>A.8.16</t>
  </si>
  <si>
    <t>Monitoring activities</t>
  </si>
  <si>
    <t>Monitoring alerts are generated but not routinely reviewed</t>
  </si>
  <si>
    <t>Alerts may go unnoticed because they are not routinely reviewed</t>
  </si>
  <si>
    <t>Assign a responsible reviewer and establish a documented alert-review process</t>
  </si>
  <si>
    <t>Monitoring configuration; alert-review records; review procedure</t>
  </si>
  <si>
    <t>The five privileged service accounts have no network restrictions</t>
  </si>
  <si>
    <t>Network restrictions are not in place for the privileged service accounts</t>
  </si>
  <si>
    <t>Restrict service-account access to approved systems and network paths</t>
  </si>
  <si>
    <t>Network diagrams; access rules; service-account configuration; connectivity test results</t>
  </si>
  <si>
    <t>A.8.13</t>
  </si>
  <si>
    <t>Information backup</t>
  </si>
  <si>
    <t>Backup copies are not stored offline or immutably, and restore tests are not performed regularly</t>
  </si>
  <si>
    <t>Backup protection and recovery testing are inadequate</t>
  </si>
  <si>
    <t>Implement offline or immutable backup copies and perform regular restore tests</t>
  </si>
  <si>
    <t>Backup configuration; backup storage settings; restore test results; backup and recovery procedure</t>
  </si>
  <si>
    <t>EDR is deployed on most managed endpoints, but coverage is incomplete, leaving some devices without behavioural detection</t>
  </si>
  <si>
    <t>Some endpoints lack EDR protection, creating a gap in malware detection</t>
  </si>
  <si>
    <t>Identify uncovered endpoints and extend appropriate EDR protection to all in-scope managed endpoints</t>
  </si>
  <si>
    <t>Endpoint inventory; EDR coverage report; deployment records; detection test results</t>
  </si>
  <si>
    <t>A.5.19</t>
  </si>
  <si>
    <t>Information security in supplier relationships</t>
  </si>
  <si>
    <t>The third-party IT supplier has remote access to NovaCare systems, but its security is not reviewed regularly</t>
  </si>
  <si>
    <t>Supplier security risks are not reviewed regularly</t>
  </si>
  <si>
    <t>Conduct a supplier security review and establish a regular review process</t>
  </si>
  <si>
    <t>Supplier security assessment; review records; supplier access inventory</t>
  </si>
  <si>
    <t>A.5.20</t>
  </si>
  <si>
    <t>Addressing information security within supplier agreements</t>
  </si>
  <si>
    <t>The supplier contract lacks security audit and incident notification requirements</t>
  </si>
  <si>
    <t>The contract does not define these security requirements</t>
  </si>
  <si>
    <t>Update the supplier agreement to include appropriate security audit rights and incident notification requirements</t>
  </si>
  <si>
    <t>Supplier contract; security clauses; incident notification requirements; audit rights</t>
  </si>
  <si>
    <t>Security alerts are generated but not routinely reviewed; no named reviewer or escalation procedure</t>
  </si>
  <si>
    <t>Monitoring activities are not consistently reviewed and escalated</t>
  </si>
  <si>
    <t>Assign a responsible reviewer and establish documented alert-review and escalation procedures</t>
  </si>
  <si>
    <t>Monitoring procedures; alert-review records; escalation procedure</t>
  </si>
  <si>
    <t>A.8.15</t>
  </si>
  <si>
    <t>Logging</t>
  </si>
  <si>
    <t>Log-source coverage of critical systems is not confirmed</t>
  </si>
  <si>
    <t>Logging coverage for critical systems has not been verified</t>
  </si>
  <si>
    <t>Inventory critical systems and verify that required security logs are generated, stored, and protected</t>
  </si>
  <si>
    <t>Log-source inventory; logging configuration; log retention settings; validation results</t>
  </si>
  <si>
    <t>A.5.15</t>
  </si>
  <si>
    <t>Access control</t>
  </si>
  <si>
    <t>User access rights are not reviewed periodically</t>
  </si>
  <si>
    <t>The overall access control framework must ensure access to patient records is restricted appropriately</t>
  </si>
  <si>
    <t>Review access control rules to ensure patient-record access is restricted according to users' roles and business needs</t>
  </si>
  <si>
    <t>Access control policy; role-based access matrix; patient-record access rules</t>
  </si>
  <si>
    <t>Periodic reviews are not performed, so users may retain excessive access to patient records</t>
  </si>
  <si>
    <t>Implement periodic access reviews, confirm permissions remain appropriate, and remove unnecessary access</t>
  </si>
  <si>
    <t>User access list; access review records; approval records; access-removal evidence</t>
  </si>
  <si>
    <t xml:space="preserve"> Medium</t>
  </si>
  <si>
    <t>Assessment  Status</t>
  </si>
  <si>
    <t xml:space="preserve"> Relevant</t>
  </si>
  <si>
    <t>Action ID</t>
  </si>
  <si>
    <t>Gap to Close</t>
  </si>
  <si>
    <t>Remediation Action</t>
  </si>
  <si>
    <t>Priority</t>
  </si>
  <si>
    <t>REM-001</t>
  </si>
  <si>
    <t>REM-002</t>
  </si>
  <si>
    <t>REM-003</t>
  </si>
  <si>
    <t>REM-004</t>
  </si>
  <si>
    <t>REM-005</t>
  </si>
  <si>
    <t>REM-006</t>
  </si>
  <si>
    <t>REM-007</t>
  </si>
  <si>
    <t>REM-008</t>
  </si>
  <si>
    <t>REM-009</t>
  </si>
  <si>
    <t>REM-010</t>
  </si>
  <si>
    <t>REM-011</t>
  </si>
  <si>
    <t>REM-012</t>
  </si>
  <si>
    <t>REM-013</t>
  </si>
  <si>
    <t>REM-014</t>
  </si>
  <si>
    <t>REM-015</t>
  </si>
  <si>
    <t>REM-016</t>
  </si>
  <si>
    <t>REM-017</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</si>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</sst>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F800]dddd\,\ mmmm\ dd\,\ yyyy"/>
  </numFmts>
  <fonts count="11">
    <font>
      <sz val="11"/>
      <color theme="1"/>
      <name val="Aptos Narrow"/>
      <family val="2"/>
      <charset val="1"/>
    </font>
    <font>
      <sz val="11"/>
      <name val="Aptos Narrow"/>
      <charset val="1"/>
    </font>
    <font>
      <i/>
      <sz val="10"/>
      <name val="Aptos Narrow"/>
      <charset val="1"/>
    </font>
    <font>
      <b/>
      <sz val="11"/>
      <name val="Aptos Narrow"/>
      <charset val="1"/>
    </font>
    <font>
      <sz val="11"/>
      <color rgb="FF0000FF"/>
      <name val="Aptos Narrow"/>
      <charset val="1"/>
    </font>
    <font>
      <b/>
      <sz val="16"/>
      <color theme="3"/>
      <name val="Aptos Narrow"/>
      <family val="2"/>
    </font>
    <font>
      <b/>
      <sz val="11"/>
      <color theme="1"/>
      <name val="Aptos Narrow"/>
      <family val="2"/>
      <charset val="1"/>
    </font>
    <font>
      <b/>
      <sz val="11"/>
      <color theme="1"/>
      <name val="Aptos Narrow"/>
      <family val="2"/>
    </font>
    <font>
      <sz val="11"/>
      <color theme="1"/>
      <name val="Aptos Narrow"/>
      <family val="2"/>
    </font>
    <font>
      <b/>
      <sz val="10"/>
      <color theme="1"/>
      <name val="Arial Unicode MS"/>
    </font>
    <font>
      <sz val="8"/>
      <name val="Aptos Narrow"/>
      <family val="2"/>
      <charset val="1"/>
    </font>
  </fonts>
  <fills count="4">
    <fill>
      <patternFill patternType="none"/>
    </fill>
    <fill>
      <patternFill patternType="gray125"/>
    </fill>
    <fill>
      <patternFill patternType="solid">
        <fgColor rgb="FFFFFF00"/>
        <bgColor rgb="FFFFFF00"/>
      </patternFill>
    </fill>
    <fill>
      <patternFill patternType="solid">
        <fgColor theme="4" tint="0.59999389629810485"/>
        <bgColor indexed="64"/>
      </patternFill>
    </fill>
  </fills>
  <borders count="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164" fontId="0" fillId="0" borderId="0" xfId="0" applyNumberFormat="1" applyAlignment="1">
      <alignment wrapText="1"/>
    </xf>
    <xf numFmtId="0" fontId="1" fillId="0" borderId="0" xfId="0" applyFont="1" applyAlignment="1">
      <alignment vertical="top" wrapText="1"/>
    </xf>
    <xf numFmtId="164" fontId="1" fillId="0" borderId="0" xfId="0" applyNumberFormat="1" applyFont="1" applyAlignment="1">
      <alignment vertical="top" wrapText="1"/>
    </xf>
    <xf numFmtId="0" fontId="2" fillId="0" borderId="0" xfId="0" applyFont="1"/>
    <xf numFmtId="0" fontId="3" fillId="0" borderId="0" xfId="0" applyFont="1"/>
    <xf numFmtId="0" fontId="1" fillId="0" borderId="0" xfId="0" applyFont="1"/>
    <xf numFmtId="164" fontId="4" fillId="2" borderId="0" xfId="0" applyNumberFormat="1" applyFont="1" applyFill="1"/>
    <xf numFmtId="0" fontId="3" fillId="0" borderId="0" xfId="0" applyFont="1" applyAlignment="1">
      <alignment wrapText="1"/>
    </xf>
    <xf numFmtId="0" fontId="4" fillId="2" borderId="0" xfId="0" applyFont="1" applyFill="1"/>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0" fontId="0" fillId="0" borderId="0" xfId="0" applyAlignment="1">
      <alignment horizontal="center" vertical="center" wrapText="1"/>
    </xf>
    <xf numFmtId="0" fontId="0" fillId="0" borderId="0" xfId="0" applyAlignment="1">
      <alignment vertical="center" wrapText="1"/>
    </xf>
    <xf numFmtId="0" fontId="7" fillId="0" borderId="0" xfId="0" applyFont="1"/>
    <xf numFmtId="0" fontId="8" fillId="0" borderId="0" xfId="0" applyFont="1"/>
    <xf numFmtId="0" fontId="0" fillId="3" borderId="0" xfId="0" applyFill="1"/>
    <xf numFmtId="0" fontId="7" fillId="3" borderId="0" xfId="0" applyFont="1" applyFill="1"/>
    <xf numFmtId="0" fontId="7" fillId="0" borderId="0" xfId="0" applyFont="1" applyAlignment="1">
      <alignment horizontal="center"/>
    </xf>
    <xf numFmtId="0" fontId="9" fillId="0" borderId="0" xfId="0" applyFont="1"/>
    <xf numFmtId="0" fontId="6" fillId="0" borderId="0" xfId="0" applyFont="1"/>
    <xf numFmtId="0" fontId="7" fillId="3" borderId="0" xfId="0" applyFont="1" applyFill="1" applyAlignment="1">
      <alignment horizontal="center"/>
    </xf>
    <xf numFmtId="0" fontId="7" fillId="0" borderId="0" xfId="0" applyFont="1" applyAlignment="1">
      <alignment horizontal="center" wrapText="1"/>
    </xf>
    <xf numFmtId="0" fontId="5" fillId="0" borderId="0" xfId="0" applyFont="1" applyAlignment="1">
      <alignment horizont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RESIDUAL RISK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manualLayout>
          <c:layoutTarget val="inner"/>
          <c:xMode val="edge"/>
          <c:yMode val="edge"/>
          <c:x val="4.5616297962754654E-2"/>
          <c:y val="0.15319444444444447"/>
          <c:w val="0.90359005124359459"/>
          <c:h val="0.72125801983085447"/>
        </c:manualLayout>
      </c:layout>
      <c:barChart>
        <c:barDir val="col"/>
        <c:grouping val="clustered"/>
        <c:varyColors val="0"/>
        <c:ser>
          <c:idx val="0"/>
          <c:order val="0"/>
          <c:tx>
            <c:strRef>
              <c:f>Dashboard!$B$8</c:f>
              <c:strCache>
                <c:ptCount val="1"/>
              </c:strCache>
            </c:strRef>
          </c:tx>
          <c:spPr>
            <a:solidFill>
              <a:schemeClr val="accent1"/>
            </a:solidFill>
            <a:ln>
              <a:noFill/>
            </a:ln>
            <a:effectLst/>
          </c:spPr>
          <c:invertIfNegative val="0"/>
          <c:cat>
            <c:strRef>
              <c:f>Dashboard!$A$9:$A$12</c:f>
              <c:strCache>
                <c:ptCount val="4"/>
                <c:pt idx="0">
                  <c:v>High</c:v>
                </c:pt>
                <c:pt idx="1">
                  <c:v>Medium</c:v>
                </c:pt>
                <c:pt idx="2">
                  <c:v>Low</c:v>
                </c:pt>
                <c:pt idx="3">
                  <c:v>Pending</c:v>
                </c:pt>
              </c:strCache>
            </c:strRef>
          </c:cat>
          <c:val>
            <c:numRef>
              <c:f>Dashboard!$B$9:$B$12</c:f>
              <c:numCache>
                <c:formatCode>General</c:formatCode>
                <c:ptCount val="4"/>
              </c:numCache>
            </c:numRef>
          </c:val>
          <c:extLst>
            <c:ext xmlns:c16="http://schemas.microsoft.com/office/drawing/2014/chart" uri="{C3380CC4-5D6E-409C-BE32-E72D297353CC}">
              <c16:uniqueId val="{00000000-C2D7-432D-A462-7595840424FE}"/>
            </c:ext>
          </c:extLst>
        </c:ser>
        <c:ser>
          <c:idx val="1"/>
          <c:order val="1"/>
          <c:tx>
            <c:strRef>
              <c:f>Dashboard!$C$8</c:f>
              <c:strCache>
                <c:ptCount val="1"/>
              </c:strCache>
            </c:strRef>
          </c:tx>
          <c:spPr>
            <a:solidFill>
              <a:schemeClr val="accent2"/>
            </a:solidFill>
            <a:ln>
              <a:noFill/>
            </a:ln>
            <a:effectLst/>
          </c:spPr>
          <c:invertIfNegative val="0"/>
          <c:cat>
            <c:strRef>
              <c:f>Dashboard!$A$9:$A$12</c:f>
              <c:strCache>
                <c:ptCount val="4"/>
                <c:pt idx="0">
                  <c:v>High</c:v>
                </c:pt>
                <c:pt idx="1">
                  <c:v>Medium</c:v>
                </c:pt>
                <c:pt idx="2">
                  <c:v>Low</c:v>
                </c:pt>
                <c:pt idx="3">
                  <c:v>Pending</c:v>
                </c:pt>
              </c:strCache>
            </c:strRef>
          </c:cat>
          <c:val>
            <c:numRef>
              <c:f>Dashboard!$C$9:$C$12</c:f>
              <c:numCache>
                <c:formatCode>General</c:formatCode>
                <c:ptCount val="4"/>
              </c:numCache>
            </c:numRef>
          </c:val>
          <c:extLst>
            <c:ext xmlns:c16="http://schemas.microsoft.com/office/drawing/2014/chart" uri="{C3380CC4-5D6E-409C-BE32-E72D297353CC}">
              <c16:uniqueId val="{00000001-C2D7-432D-A462-7595840424FE}"/>
            </c:ext>
          </c:extLst>
        </c:ser>
        <c:ser>
          <c:idx val="2"/>
          <c:order val="2"/>
          <c:tx>
            <c:strRef>
              <c:f>Dashboard!$D$8</c:f>
              <c:strCache>
                <c:ptCount val="1"/>
                <c:pt idx="0">
                  <c:v>COUNT</c:v>
                </c:pt>
              </c:strCache>
            </c:strRef>
          </c:tx>
          <c:spPr>
            <a:solidFill>
              <a:schemeClr val="accent3"/>
            </a:solidFill>
            <a:ln>
              <a:noFill/>
            </a:ln>
            <a:effectLst/>
          </c:spPr>
          <c:invertIfNegative val="0"/>
          <c:cat>
            <c:strRef>
              <c:f>Dashboard!$A$9:$A$12</c:f>
              <c:strCache>
                <c:ptCount val="4"/>
                <c:pt idx="0">
                  <c:v>High</c:v>
                </c:pt>
                <c:pt idx="1">
                  <c:v>Medium</c:v>
                </c:pt>
                <c:pt idx="2">
                  <c:v>Low</c:v>
                </c:pt>
                <c:pt idx="3">
                  <c:v>Pending</c:v>
                </c:pt>
              </c:strCache>
            </c:strRef>
          </c:cat>
          <c:val>
            <c:numRef>
              <c:f>Dashboard!$D$9:$D$12</c:f>
              <c:numCache>
                <c:formatCode>General</c:formatCode>
                <c:ptCount val="4"/>
                <c:pt idx="0">
                  <c:v>1</c:v>
                </c:pt>
                <c:pt idx="1">
                  <c:v>6</c:v>
                </c:pt>
                <c:pt idx="2">
                  <c:v>0</c:v>
                </c:pt>
                <c:pt idx="3">
                  <c:v>1</c:v>
                </c:pt>
              </c:numCache>
            </c:numRef>
          </c:val>
          <c:extLst>
            <c:ext xmlns:c16="http://schemas.microsoft.com/office/drawing/2014/chart" uri="{C3380CC4-5D6E-409C-BE32-E72D297353CC}">
              <c16:uniqueId val="{00000002-C2D7-432D-A462-7595840424FE}"/>
            </c:ext>
          </c:extLst>
        </c:ser>
        <c:dLbls>
          <c:showLegendKey val="0"/>
          <c:showVal val="0"/>
          <c:showCatName val="0"/>
          <c:showSerName val="0"/>
          <c:showPercent val="0"/>
          <c:showBubbleSize val="0"/>
        </c:dLbls>
        <c:gapWidth val="219"/>
        <c:overlap val="-27"/>
        <c:axId val="955918656"/>
        <c:axId val="956057552"/>
      </c:barChart>
      <c:catAx>
        <c:axId val="9559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956057552"/>
        <c:crosses val="autoZero"/>
        <c:auto val="1"/>
        <c:lblAlgn val="ctr"/>
        <c:lblOffset val="100"/>
        <c:noMultiLvlLbl val="0"/>
      </c:catAx>
      <c:valAx>
        <c:axId val="95605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955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Inherent vs Residual Risk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manualLayout>
          <c:layoutTarget val="inner"/>
          <c:xMode val="edge"/>
          <c:yMode val="edge"/>
          <c:x val="6.7692038495188095E-2"/>
          <c:y val="0.16685159500693483"/>
          <c:w val="0.91564129483814527"/>
          <c:h val="0.61588818387992761"/>
        </c:manualLayout>
      </c:layout>
      <c:barChart>
        <c:barDir val="col"/>
        <c:grouping val="clustered"/>
        <c:varyColors val="0"/>
        <c:ser>
          <c:idx val="0"/>
          <c:order val="0"/>
          <c:tx>
            <c:strRef>
              <c:f>Dashboard!$B$20</c:f>
              <c:strCache>
                <c:ptCount val="1"/>
                <c:pt idx="0">
                  <c:v> </c:v>
                </c:pt>
              </c:strCache>
            </c:strRef>
          </c:tx>
          <c:spPr>
            <a:solidFill>
              <a:schemeClr val="accent1"/>
            </a:solidFill>
            <a:ln>
              <a:noFill/>
            </a:ln>
            <a:effectLst/>
          </c:spPr>
          <c:invertIfNegative val="0"/>
          <c:cat>
            <c:strRef>
              <c:f>Dashboard!$A$21:$A$24</c:f>
              <c:strCache>
                <c:ptCount val="4"/>
                <c:pt idx="0">
                  <c:v>High</c:v>
                </c:pt>
                <c:pt idx="1">
                  <c:v>Medium</c:v>
                </c:pt>
                <c:pt idx="2">
                  <c:v>Low</c:v>
                </c:pt>
                <c:pt idx="3">
                  <c:v>Pending</c:v>
                </c:pt>
              </c:strCache>
            </c:strRef>
          </c:cat>
          <c:val>
            <c:numRef>
              <c:f>Dashboard!$B$21:$B$24</c:f>
              <c:numCache>
                <c:formatCode>General</c:formatCode>
                <c:ptCount val="4"/>
              </c:numCache>
            </c:numRef>
          </c:val>
          <c:extLst>
            <c:ext xmlns:c16="http://schemas.microsoft.com/office/drawing/2014/chart" uri="{C3380CC4-5D6E-409C-BE32-E72D297353CC}">
              <c16:uniqueId val="{00000000-3DA8-4FA2-B18B-5A3BADD1ADB3}"/>
            </c:ext>
          </c:extLst>
        </c:ser>
        <c:ser>
          <c:idx val="1"/>
          <c:order val="1"/>
          <c:tx>
            <c:strRef>
              <c:f>Dashboard!$C$20</c:f>
              <c:strCache>
                <c:ptCount val="1"/>
                <c:pt idx="0">
                  <c:v>Inherent Risk  </c:v>
                </c:pt>
              </c:strCache>
            </c:strRef>
          </c:tx>
          <c:spPr>
            <a:solidFill>
              <a:schemeClr val="accent2"/>
            </a:solidFill>
            <a:ln>
              <a:noFill/>
            </a:ln>
            <a:effectLst/>
          </c:spPr>
          <c:invertIfNegative val="0"/>
          <c:cat>
            <c:strRef>
              <c:f>Dashboard!$A$21:$A$24</c:f>
              <c:strCache>
                <c:ptCount val="4"/>
                <c:pt idx="0">
                  <c:v>High</c:v>
                </c:pt>
                <c:pt idx="1">
                  <c:v>Medium</c:v>
                </c:pt>
                <c:pt idx="2">
                  <c:v>Low</c:v>
                </c:pt>
                <c:pt idx="3">
                  <c:v>Pending</c:v>
                </c:pt>
              </c:strCache>
            </c:strRef>
          </c:cat>
          <c:val>
            <c:numRef>
              <c:f>Dashboard!$C$21:$C$24</c:f>
              <c:numCache>
                <c:formatCode>General</c:formatCode>
                <c:ptCount val="4"/>
                <c:pt idx="0">
                  <c:v>8</c:v>
                </c:pt>
                <c:pt idx="1">
                  <c:v>0</c:v>
                </c:pt>
                <c:pt idx="2">
                  <c:v>0</c:v>
                </c:pt>
                <c:pt idx="3">
                  <c:v>0</c:v>
                </c:pt>
              </c:numCache>
            </c:numRef>
          </c:val>
          <c:extLst>
            <c:ext xmlns:c16="http://schemas.microsoft.com/office/drawing/2014/chart" uri="{C3380CC4-5D6E-409C-BE32-E72D297353CC}">
              <c16:uniqueId val="{00000001-3DA8-4FA2-B18B-5A3BADD1ADB3}"/>
            </c:ext>
          </c:extLst>
        </c:ser>
        <c:ser>
          <c:idx val="2"/>
          <c:order val="2"/>
          <c:tx>
            <c:strRef>
              <c:f>Dashboard!$D$20</c:f>
              <c:strCache>
                <c:ptCount val="1"/>
              </c:strCache>
            </c:strRef>
          </c:tx>
          <c:spPr>
            <a:solidFill>
              <a:schemeClr val="accent3"/>
            </a:solidFill>
            <a:ln>
              <a:noFill/>
            </a:ln>
            <a:effectLst/>
          </c:spPr>
          <c:invertIfNegative val="0"/>
          <c:cat>
            <c:strRef>
              <c:f>Dashboard!$A$21:$A$24</c:f>
              <c:strCache>
                <c:ptCount val="4"/>
                <c:pt idx="0">
                  <c:v>High</c:v>
                </c:pt>
                <c:pt idx="1">
                  <c:v>Medium</c:v>
                </c:pt>
                <c:pt idx="2">
                  <c:v>Low</c:v>
                </c:pt>
                <c:pt idx="3">
                  <c:v>Pending</c:v>
                </c:pt>
              </c:strCache>
            </c:strRef>
          </c:cat>
          <c:val>
            <c:numRef>
              <c:f>Dashboard!$D$21:$D$24</c:f>
              <c:numCache>
                <c:formatCode>General</c:formatCode>
                <c:ptCount val="4"/>
              </c:numCache>
            </c:numRef>
          </c:val>
          <c:extLst>
            <c:ext xmlns:c16="http://schemas.microsoft.com/office/drawing/2014/chart" uri="{C3380CC4-5D6E-409C-BE32-E72D297353CC}">
              <c16:uniqueId val="{00000002-3DA8-4FA2-B18B-5A3BADD1ADB3}"/>
            </c:ext>
          </c:extLst>
        </c:ser>
        <c:ser>
          <c:idx val="3"/>
          <c:order val="3"/>
          <c:tx>
            <c:strRef>
              <c:f>Dashboard!$E$20</c:f>
              <c:strCache>
                <c:ptCount val="1"/>
                <c:pt idx="0">
                  <c:v>Residual Risk</c:v>
                </c:pt>
              </c:strCache>
            </c:strRef>
          </c:tx>
          <c:spPr>
            <a:solidFill>
              <a:schemeClr val="accent4"/>
            </a:solidFill>
            <a:ln>
              <a:noFill/>
            </a:ln>
            <a:effectLst/>
          </c:spPr>
          <c:invertIfNegative val="0"/>
          <c:cat>
            <c:strRef>
              <c:f>Dashboard!$A$21:$A$24</c:f>
              <c:strCache>
                <c:ptCount val="4"/>
                <c:pt idx="0">
                  <c:v>High</c:v>
                </c:pt>
                <c:pt idx="1">
                  <c:v>Medium</c:v>
                </c:pt>
                <c:pt idx="2">
                  <c:v>Low</c:v>
                </c:pt>
                <c:pt idx="3">
                  <c:v>Pending</c:v>
                </c:pt>
              </c:strCache>
            </c:strRef>
          </c:cat>
          <c:val>
            <c:numRef>
              <c:f>Dashboard!$E$21:$E$24</c:f>
              <c:numCache>
                <c:formatCode>General</c:formatCode>
                <c:ptCount val="4"/>
                <c:pt idx="0">
                  <c:v>1</c:v>
                </c:pt>
                <c:pt idx="1">
                  <c:v>6</c:v>
                </c:pt>
                <c:pt idx="2">
                  <c:v>0</c:v>
                </c:pt>
                <c:pt idx="3">
                  <c:v>1</c:v>
                </c:pt>
              </c:numCache>
            </c:numRef>
          </c:val>
          <c:extLst>
            <c:ext xmlns:c16="http://schemas.microsoft.com/office/drawing/2014/chart" uri="{C3380CC4-5D6E-409C-BE32-E72D297353CC}">
              <c16:uniqueId val="{00000003-3DA8-4FA2-B18B-5A3BADD1ADB3}"/>
            </c:ext>
          </c:extLst>
        </c:ser>
        <c:dLbls>
          <c:showLegendKey val="0"/>
          <c:showVal val="0"/>
          <c:showCatName val="0"/>
          <c:showSerName val="0"/>
          <c:showPercent val="0"/>
          <c:showBubbleSize val="0"/>
        </c:dLbls>
        <c:gapWidth val="219"/>
        <c:overlap val="-27"/>
        <c:axId val="990281504"/>
        <c:axId val="990280544"/>
      </c:barChart>
      <c:catAx>
        <c:axId val="990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990280544"/>
        <c:crosses val="autoZero"/>
        <c:auto val="1"/>
        <c:lblAlgn val="ctr"/>
        <c:lblOffset val="100"/>
        <c:noMultiLvlLbl val="0"/>
      </c:catAx>
      <c:valAx>
        <c:axId val="9902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99028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495300</xdr:colOff>
      <xdr:row>2</xdr:row>
      <xdr:rowOff>60960</xdr:rowOff>
    </xdr:from>
    <xdr:to>
      <xdr:col>16</xdr:col>
      <xdr:colOff>533400</xdr:colOff>
      <xdr:row>14</xdr:row>
      <xdr:rowOff>45720</xdr:rowOff>
    </xdr:to>
    <xdr:graphicFrame macro="">
      <xdr:nvGraphicFramePr>
        <xdr:cNvPr id="2" name="Chart 1">
          <a:extLst>
            <a:ext uri="{FF2B5EF4-FFF2-40B4-BE49-F238E27FC236}">
              <a16:creationId xmlns:a16="http://schemas.microsoft.com/office/drawing/2014/main" id="{148D49AD-B3E6-D8EB-A901-39D156EBB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167640</xdr:colOff>
      <xdr:row>15</xdr:row>
      <xdr:rowOff>160020</xdr:rowOff>
    </xdr:from>
    <xdr:to>
      <xdr:col>17</xdr:col>
      <xdr:colOff>22860</xdr:colOff>
      <xdr:row>28</xdr:row>
      <xdr:rowOff>30480</xdr:rowOff>
    </xdr:to>
    <xdr:graphicFrame macro="">
      <xdr:nvGraphicFramePr>
        <xdr:cNvPr id="3" name="Chart 2">
          <a:extLst>
            <a:ext uri="{FF2B5EF4-FFF2-40B4-BE49-F238E27FC236}">
              <a16:creationId xmlns:a16="http://schemas.microsoft.com/office/drawing/2014/main" id="{07BD0562-37E9-D332-DC34-463759267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opLeftCell="A8" zoomScale="74" zoomScaleNormal="74" workbookViewId="0">
      <selection activeCell="D6" sqref="D6"/>
    </sheetView>
  </sheetViews>
  <sheetFormatPr defaultColWidth="8.5546875" defaultRowHeight="14.4"/>
  <cols>
    <col min="2" max="2" width="11" customWidth="1"/>
    <col min="3" max="3" width="15.88671875" customWidth="1"/>
    <col min="4" max="4" width="18" customWidth="1"/>
    <col min="5" max="5" width="13.44140625" customWidth="1"/>
    <col min="6" max="6" width="16.21875" customWidth="1"/>
    <col min="7" max="7" width="17.44140625" customWidth="1"/>
    <col min="8" max="8" width="14.109375" customWidth="1"/>
    <col min="9" max="9" width="13.5546875" customWidth="1"/>
    <col min="10" max="10" width="15" customWidth="1"/>
    <col min="11" max="11" width="16.5546875" customWidth="1"/>
    <col min="12" max="12" width="15.77734375" customWidth="1"/>
    <col min="13" max="13" width="15.6640625" customWidth="1"/>
    <col min="14" max="14" width="11.6640625" customWidth="1"/>
    <col min="15" max="16" width="14" customWidth="1"/>
    <col min="18" max="18" width="19.6640625" customWidth="1"/>
    <col min="19" max="19" width="23.109375" customWidth="1"/>
    <col min="21" max="21" width="70" customWidth="1"/>
  </cols>
  <sheetData>
    <row r="1" spans="1:21" ht="14.25" customHeight="1">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U1" t="s">
        <v>19</v>
      </c>
    </row>
    <row r="2" spans="1:21" ht="230.25" customHeight="1">
      <c r="A2" t="s">
        <v>20</v>
      </c>
      <c r="B2" t="s">
        <v>21</v>
      </c>
      <c r="C2" s="1" t="s">
        <v>22</v>
      </c>
      <c r="D2" s="1" t="s">
        <v>23</v>
      </c>
      <c r="E2" s="1" t="s">
        <v>24</v>
      </c>
      <c r="F2" s="1" t="s">
        <v>25</v>
      </c>
      <c r="G2" t="s">
        <v>26</v>
      </c>
      <c r="H2" t="s">
        <v>26</v>
      </c>
      <c r="I2" t="s">
        <v>26</v>
      </c>
      <c r="J2" t="s">
        <v>27</v>
      </c>
      <c r="K2" s="1" t="s">
        <v>28</v>
      </c>
      <c r="L2" t="s">
        <v>29</v>
      </c>
      <c r="M2" s="1" t="s">
        <v>30</v>
      </c>
      <c r="N2" s="1" t="s">
        <v>31</v>
      </c>
      <c r="O2" s="1" t="s">
        <v>32</v>
      </c>
      <c r="P2" s="2">
        <f>Assumptions!$B$3+Assumptions!$B$6</f>
        <v>46328</v>
      </c>
      <c r="Q2" t="s">
        <v>33</v>
      </c>
      <c r="R2" s="1" t="s">
        <v>34</v>
      </c>
      <c r="S2" s="1" t="s">
        <v>35</v>
      </c>
      <c r="U2" s="1" t="s">
        <v>36</v>
      </c>
    </row>
    <row r="3" spans="1:21" ht="258.75" customHeight="1">
      <c r="A3" t="s">
        <v>37</v>
      </c>
      <c r="B3" t="s">
        <v>38</v>
      </c>
      <c r="C3" s="1" t="s">
        <v>39</v>
      </c>
      <c r="D3" s="1" t="s">
        <v>40</v>
      </c>
      <c r="E3" s="1" t="s">
        <v>24</v>
      </c>
      <c r="F3" s="1" t="s">
        <v>41</v>
      </c>
      <c r="G3" t="s">
        <v>42</v>
      </c>
      <c r="H3" t="s">
        <v>26</v>
      </c>
      <c r="I3" t="s">
        <v>26</v>
      </c>
      <c r="J3" s="1" t="s">
        <v>43</v>
      </c>
      <c r="K3" t="s">
        <v>44</v>
      </c>
      <c r="L3" t="s">
        <v>42</v>
      </c>
      <c r="M3" s="1" t="s">
        <v>45</v>
      </c>
      <c r="N3" s="1" t="s">
        <v>46</v>
      </c>
      <c r="O3" s="1" t="s">
        <v>47</v>
      </c>
      <c r="P3" s="2">
        <f>Assumptions!$B$3+Assumptions!$B$7</f>
        <v>46321</v>
      </c>
      <c r="Q3" t="s">
        <v>33</v>
      </c>
      <c r="R3" s="1" t="s">
        <v>48</v>
      </c>
      <c r="S3" s="1" t="s">
        <v>49</v>
      </c>
    </row>
    <row r="4" spans="1:21" ht="172.5" customHeight="1">
      <c r="A4" t="s">
        <v>50</v>
      </c>
      <c r="B4" t="s">
        <v>51</v>
      </c>
      <c r="C4" s="1" t="s">
        <v>52</v>
      </c>
      <c r="D4" s="1" t="s">
        <v>53</v>
      </c>
      <c r="E4" t="s">
        <v>54</v>
      </c>
      <c r="F4" s="1" t="s">
        <v>55</v>
      </c>
      <c r="G4" t="s">
        <v>26</v>
      </c>
      <c r="H4" t="s">
        <v>26</v>
      </c>
      <c r="I4" t="s">
        <v>26</v>
      </c>
      <c r="J4" s="1" t="s">
        <v>56</v>
      </c>
      <c r="K4" t="s">
        <v>57</v>
      </c>
      <c r="L4" t="s">
        <v>58</v>
      </c>
      <c r="M4" s="1" t="s">
        <v>59</v>
      </c>
      <c r="N4" s="1" t="s">
        <v>60</v>
      </c>
      <c r="O4" t="s">
        <v>61</v>
      </c>
      <c r="P4" s="2">
        <f>Assumptions!$B$3+Assumptions!$B$8</f>
        <v>46337</v>
      </c>
      <c r="Q4" s="1" t="s">
        <v>62</v>
      </c>
      <c r="R4" s="1" t="s">
        <v>63</v>
      </c>
      <c r="S4" s="1" t="s">
        <v>64</v>
      </c>
    </row>
    <row r="5" spans="1:21" ht="158.4">
      <c r="A5" t="s">
        <v>80</v>
      </c>
      <c r="B5" t="s">
        <v>81</v>
      </c>
      <c r="C5" s="1" t="s">
        <v>82</v>
      </c>
      <c r="D5" s="1" t="s">
        <v>83</v>
      </c>
      <c r="E5" s="1" t="s">
        <v>84</v>
      </c>
      <c r="F5" s="1" t="s">
        <v>85</v>
      </c>
      <c r="G5" t="s">
        <v>42</v>
      </c>
      <c r="H5" t="s">
        <v>26</v>
      </c>
      <c r="I5" t="s">
        <v>26</v>
      </c>
      <c r="J5" s="1" t="s">
        <v>86</v>
      </c>
      <c r="K5" t="s">
        <v>87</v>
      </c>
      <c r="L5" t="s">
        <v>42</v>
      </c>
      <c r="M5" s="1" t="s">
        <v>88</v>
      </c>
      <c r="N5" s="1" t="s">
        <v>89</v>
      </c>
      <c r="O5" s="1" t="s">
        <v>90</v>
      </c>
      <c r="P5" s="2">
        <f>Assumptions!$B$3+Assumptions!$B$9</f>
        <v>46328</v>
      </c>
      <c r="Q5" t="s">
        <v>33</v>
      </c>
      <c r="R5" s="1" t="s">
        <v>91</v>
      </c>
      <c r="S5" s="1" t="s">
        <v>92</v>
      </c>
    </row>
    <row r="6" spans="1:21" ht="172.8">
      <c r="A6" t="s">
        <v>93</v>
      </c>
      <c r="B6" t="s">
        <v>94</v>
      </c>
      <c r="C6" s="1" t="s">
        <v>95</v>
      </c>
      <c r="D6" s="1" t="s">
        <v>96</v>
      </c>
      <c r="E6" s="1" t="s">
        <v>97</v>
      </c>
      <c r="F6" s="1" t="s">
        <v>98</v>
      </c>
      <c r="G6" t="s">
        <v>26</v>
      </c>
      <c r="H6" t="s">
        <v>26</v>
      </c>
      <c r="I6" t="s">
        <v>26</v>
      </c>
      <c r="J6" s="1" t="s">
        <v>99</v>
      </c>
      <c r="K6" t="s">
        <v>87</v>
      </c>
      <c r="L6" t="s">
        <v>42</v>
      </c>
      <c r="M6" s="1" t="s">
        <v>100</v>
      </c>
      <c r="N6" s="1" t="s">
        <v>89</v>
      </c>
      <c r="O6" s="1" t="s">
        <v>101</v>
      </c>
      <c r="P6" s="2">
        <f>Assumptions!$B$3+Assumptions!$B$10</f>
        <v>46337</v>
      </c>
      <c r="Q6" t="s">
        <v>33</v>
      </c>
      <c r="R6" s="1" t="s">
        <v>102</v>
      </c>
      <c r="S6" s="1" t="s">
        <v>103</v>
      </c>
    </row>
    <row r="7" spans="1:21" ht="244.8">
      <c r="A7" t="s">
        <v>107</v>
      </c>
      <c r="B7" t="s">
        <v>108</v>
      </c>
      <c r="C7" s="1" t="s">
        <v>109</v>
      </c>
      <c r="D7" s="1" t="s">
        <v>110</v>
      </c>
      <c r="E7" s="1" t="s">
        <v>111</v>
      </c>
      <c r="F7" s="1" t="s">
        <v>112</v>
      </c>
      <c r="G7" t="s">
        <v>42</v>
      </c>
      <c r="H7" t="s">
        <v>26</v>
      </c>
      <c r="I7" t="s">
        <v>26</v>
      </c>
      <c r="J7" s="1" t="s">
        <v>113</v>
      </c>
      <c r="K7" t="s">
        <v>87</v>
      </c>
      <c r="L7" t="s">
        <v>42</v>
      </c>
      <c r="M7" s="1" t="s">
        <v>114</v>
      </c>
      <c r="N7" s="1" t="s">
        <v>115</v>
      </c>
      <c r="O7" s="1" t="s">
        <v>116</v>
      </c>
      <c r="P7" s="2">
        <f>Assumptions!$B$3+Assumptions!$B$11</f>
        <v>46337</v>
      </c>
      <c r="Q7" t="s">
        <v>33</v>
      </c>
      <c r="R7" s="1" t="s">
        <v>117</v>
      </c>
      <c r="S7" s="1" t="s">
        <v>118</v>
      </c>
    </row>
    <row r="8" spans="1:21" ht="230.4">
      <c r="A8" t="s">
        <v>124</v>
      </c>
      <c r="B8" t="s">
        <v>126</v>
      </c>
      <c r="C8" s="1" t="s">
        <v>127</v>
      </c>
      <c r="D8" s="1" t="s">
        <v>128</v>
      </c>
      <c r="E8" s="1" t="s">
        <v>129</v>
      </c>
      <c r="F8" s="1" t="s">
        <v>130</v>
      </c>
      <c r="G8" s="1" t="s">
        <v>42</v>
      </c>
      <c r="H8" t="s">
        <v>26</v>
      </c>
      <c r="I8" t="s">
        <v>26</v>
      </c>
      <c r="J8" s="1" t="s">
        <v>131</v>
      </c>
      <c r="K8" t="s">
        <v>87</v>
      </c>
      <c r="L8" t="s">
        <v>42</v>
      </c>
      <c r="M8" s="1" t="s">
        <v>132</v>
      </c>
      <c r="N8" s="1" t="s">
        <v>60</v>
      </c>
      <c r="O8" s="1" t="s">
        <v>133</v>
      </c>
      <c r="P8" s="2">
        <f>Assumptions!$B$3+Assumptions!$B$12</f>
        <v>46328</v>
      </c>
      <c r="Q8" t="s">
        <v>33</v>
      </c>
      <c r="R8" s="1" t="s">
        <v>134</v>
      </c>
      <c r="S8" s="1" t="s">
        <v>135</v>
      </c>
    </row>
    <row r="9" spans="1:21" ht="172.8">
      <c r="A9" t="s">
        <v>138</v>
      </c>
      <c r="B9" t="s">
        <v>139</v>
      </c>
      <c r="C9" s="1" t="s">
        <v>140</v>
      </c>
      <c r="D9" s="1" t="s">
        <v>141</v>
      </c>
      <c r="E9" s="1" t="s">
        <v>142</v>
      </c>
      <c r="F9" s="1" t="s">
        <v>143</v>
      </c>
      <c r="G9" t="s">
        <v>42</v>
      </c>
      <c r="H9" t="s">
        <v>26</v>
      </c>
      <c r="I9" t="s">
        <v>26</v>
      </c>
      <c r="J9" s="1" t="s">
        <v>144</v>
      </c>
      <c r="K9" t="s">
        <v>87</v>
      </c>
      <c r="L9" t="s">
        <v>42</v>
      </c>
      <c r="M9" s="1" t="s">
        <v>145</v>
      </c>
      <c r="N9" s="1" t="s">
        <v>146</v>
      </c>
      <c r="O9" s="1" t="s">
        <v>147</v>
      </c>
      <c r="P9" s="2">
        <f>Assumptions!$B$3+Assumptions!$B$13</f>
        <v>46337</v>
      </c>
      <c r="Q9" t="s">
        <v>33</v>
      </c>
      <c r="R9" s="1" t="s">
        <v>148</v>
      </c>
      <c r="S9" s="1" t="s">
        <v>149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zoomScaleNormal="100" workbookViewId="0">
      <selection activeCell="B10" sqref="B10"/>
    </sheetView>
  </sheetViews>
  <sheetFormatPr defaultColWidth="8.5546875" defaultRowHeight="14.4"/>
  <cols>
    <col min="1" max="2" width="10" customWidth="1"/>
    <col min="3" max="3" width="26" customWidth="1"/>
    <col min="4" max="4" width="50" customWidth="1"/>
    <col min="5" max="5" width="26" customWidth="1"/>
    <col min="6" max="6" width="24" customWidth="1"/>
    <col min="7" max="8" width="55" customWidth="1"/>
    <col min="9" max="9" width="22" customWidth="1"/>
  </cols>
  <sheetData>
    <row r="1" spans="1:9" ht="14.25" customHeight="1">
      <c r="A1" t="s">
        <v>0</v>
      </c>
      <c r="B1" t="s">
        <v>1</v>
      </c>
      <c r="C1" t="s">
        <v>65</v>
      </c>
      <c r="D1" t="s">
        <v>66</v>
      </c>
      <c r="E1" t="s">
        <v>67</v>
      </c>
      <c r="F1" t="s">
        <v>68</v>
      </c>
      <c r="G1" t="s">
        <v>17</v>
      </c>
      <c r="H1" t="s">
        <v>69</v>
      </c>
      <c r="I1" t="s">
        <v>16</v>
      </c>
    </row>
    <row r="2" spans="1:9" ht="150" customHeight="1">
      <c r="A2" s="3" t="str">
        <f>Risk_Register!A2</f>
        <v>R-001</v>
      </c>
      <c r="B2" s="3" t="str">
        <f>Risk_Register!B2</f>
        <v>AST-002</v>
      </c>
      <c r="C2" s="3" t="s">
        <v>70</v>
      </c>
      <c r="D2" s="3" t="s">
        <v>71</v>
      </c>
      <c r="E2" s="3" t="str">
        <f>Risk_Register!O2</f>
        <v>Infrastructure Team</v>
      </c>
      <c r="F2" s="4">
        <f>Risk_Register!P2</f>
        <v>46328</v>
      </c>
      <c r="G2" s="3" t="str">
        <f>Risk_Register!R2</f>
        <v>WAF configuration/rule evidence; vulnerability scan; patch/remediation plan; relevant security logs or validation results</v>
      </c>
      <c r="H2" s="3" t="str">
        <f>Risk_Register!S2</f>
        <v>Re-scan the asset and confirm the vulnerability is remediated; validate WAF protection and update residual risk</v>
      </c>
      <c r="I2" s="3" t="str">
        <f>Risk_Register!Q2</f>
        <v>Open</v>
      </c>
    </row>
    <row r="3" spans="1:9" ht="150" customHeight="1">
      <c r="A3" s="3" t="str">
        <f>Risk_Register!A3</f>
        <v>R-002</v>
      </c>
      <c r="B3" s="3" t="str">
        <f>Risk_Register!B3</f>
        <v>AST-003</v>
      </c>
      <c r="C3" s="3" t="s">
        <v>70</v>
      </c>
      <c r="D3" s="3" t="s">
        <v>72</v>
      </c>
      <c r="E3" s="3" t="str">
        <f>Risk_Register!O3</f>
        <v>Database/Infrastructure Team</v>
      </c>
      <c r="F3" s="4">
        <f>Risk_Register!P3</f>
        <v>46321</v>
      </c>
      <c r="G3" s="3" t="str">
        <f>Risk_Register!R3</f>
        <v>Network/firewall configuration; access-control test result; vulnerability scan; patch evidence</v>
      </c>
      <c r="H3" s="3" t="str">
        <f>Risk_Register!S3</f>
        <v>Re-scan the database and verify unauthorized network access remains blocked; confirm vulnerability is remediated and update residual risk</v>
      </c>
      <c r="I3" s="3" t="str">
        <f>Risk_Register!Q3</f>
        <v>Open</v>
      </c>
    </row>
    <row r="4" spans="1:9" ht="150" customHeight="1">
      <c r="A4" s="3" t="str">
        <f>Risk_Register!A4</f>
        <v>R-003</v>
      </c>
      <c r="B4" s="3" t="str">
        <f>Risk_Register!B4</f>
        <v>AST-004</v>
      </c>
      <c r="C4" s="3" t="s">
        <v>73</v>
      </c>
      <c r="D4" s="3" t="s">
        <v>74</v>
      </c>
      <c r="E4" s="3" t="str">
        <f>Risk_Register!O4</f>
        <v>IAM Team</v>
      </c>
      <c r="F4" s="4">
        <f>Risk_Register!P4</f>
        <v>46337</v>
      </c>
      <c r="G4" s="3" t="str">
        <f>Risk_Register!R4</f>
        <v>Current service-account inventory and privilege list; MFA exception approvals and rationale; network/security configuration confirming restrictions are absent; monitoring/alert configuration and evidence of alert review; proposed remediation plan and risk-owner decision.</v>
      </c>
      <c r="H4" s="3" t="str">
        <f>Risk_Register!S4</f>
        <v>Verify least-privilege changes and any network restrictions through configuration review and appropriate tests; test that alerts reach a named reviewer and are acted on; verify authentication controls; reassess residual risk and document evidence before closure.</v>
      </c>
      <c r="I4" s="3" t="str">
        <f>Risk_Register!Q4</f>
        <v>Open - treatment required</v>
      </c>
    </row>
    <row r="5" spans="1:9" ht="150" customHeight="1">
      <c r="A5" s="3" t="str">
        <f>Risk_Register!A5</f>
        <v>R-004</v>
      </c>
      <c r="B5" t="str">
        <f>Risk_Register!B5</f>
        <v>AST-005</v>
      </c>
      <c r="C5" s="3" t="s">
        <v>104</v>
      </c>
      <c r="D5" s="3" t="s">
        <v>105</v>
      </c>
      <c r="E5" s="3" t="str">
        <f>Risk_Register!O5</f>
        <v>Backup Administrator</v>
      </c>
      <c r="F5" s="4">
        <f>Risk_Register!P5</f>
        <v>46328</v>
      </c>
      <c r="G5" s="3" t="str">
        <f>Risk_Register!R5</f>
        <v>Backup configuration; evidence of offline or immutable copy; restore test results; backup admin access list.</v>
      </c>
      <c r="H5" s="3" t="str">
        <f>Risk_Register!S5</f>
        <v>Perform a test restore of a critical system and confirm it completes within the recovery requirement; verify the offline or immutable copy cannot be altered by normal admin accounts; update residual risk.</v>
      </c>
      <c r="I5" s="3" t="str">
        <f>Risk_Register!Q5</f>
        <v>Open</v>
      </c>
    </row>
    <row r="6" spans="1:9" ht="150" customHeight="1">
      <c r="A6" s="3" t="str">
        <f>Risk_Register!A6</f>
        <v>R-005</v>
      </c>
      <c r="B6" t="str">
        <f>Risk_Register!B6</f>
        <v>AST-006</v>
      </c>
      <c r="C6" s="3" t="s">
        <v>104</v>
      </c>
      <c r="D6" s="3" t="s">
        <v>106</v>
      </c>
      <c r="E6" s="3" t="str">
        <f>Risk_Register!O6</f>
        <v>Endpoint Management Team</v>
      </c>
      <c r="F6" s="4">
        <f>Risk_Register!P6</f>
        <v>46337</v>
      </c>
      <c r="G6" s="3" t="str">
        <f>Risk_Register!R6</f>
        <v>Endpoint inventory; EDR coverage report showing covered and uncovered devices; rollout plan; evidence of alert handling for newly covered devices.</v>
      </c>
      <c r="H6" s="3" t="str">
        <f>Risk_Register!S6</f>
        <v>Compare the endpoint inventory with the EDR console and confirm 100% of managed endpoints report in; run a detection test on a sample device; update residual risk.</v>
      </c>
      <c r="I6" s="3" t="str">
        <f>Risk_Register!Q6</f>
        <v>Open</v>
      </c>
    </row>
    <row r="7" spans="1:9" ht="150" customHeight="1">
      <c r="A7" s="3" t="str">
        <f>Risk_Register!A7</f>
        <v>R-006</v>
      </c>
      <c r="B7" s="3" t="str">
        <f>Risk_Register!B7</f>
        <v>AST-007</v>
      </c>
      <c r="C7" s="3" t="s">
        <v>104</v>
      </c>
      <c r="D7" s="3" t="s">
        <v>119</v>
      </c>
      <c r="E7" s="3" t="str">
        <f>Risk_Register!O7</f>
        <v>IT Operations Team</v>
      </c>
      <c r="F7" s="4">
        <f>Risk_Register!P7</f>
        <v>46337</v>
      </c>
      <c r="G7" s="3" t="str">
        <f>Risk_Register!R7</f>
        <v>Supplier security assessment or certification evidence; contract clauses; supplier access list with privileges; evidence of access and activity reviews.</v>
      </c>
      <c r="H7" s="3" t="str">
        <f>Risk_Register!S7</f>
        <v>Confirm the supplier assessment is completed and findings are tracked; verify supplier accounts use MFA and least privilege; confirm incident notification terms are in the contract; update residual risk.</v>
      </c>
      <c r="I7" s="3" t="str">
        <f>Risk_Register!Q7</f>
        <v>Open</v>
      </c>
    </row>
    <row r="8" spans="1:9" ht="150" customHeight="1">
      <c r="A8" s="3" t="str">
        <f>Risk_Register!A8</f>
        <v>R-007</v>
      </c>
      <c r="B8" s="3" t="str">
        <f>Risk_Register!B8</f>
        <v>AST-008</v>
      </c>
      <c r="C8" s="3" t="s">
        <v>104</v>
      </c>
      <c r="D8" s="3" t="s">
        <v>136</v>
      </c>
      <c r="E8" s="3" t="str">
        <f>Risk_Register!O8</f>
        <v>Security Operations Team</v>
      </c>
      <c r="F8" s="4">
        <f>Risk_Register!P8</f>
        <v>46328</v>
      </c>
      <c r="G8" s="3" t="str">
        <f>Risk_Register!R8</f>
        <v>Alert review schedule and named reviewer; sample of reviewed alerts with outcomes; log source coverage list; triage and escalation procedure.</v>
      </c>
      <c r="H8" s="3" t="str">
        <f>Risk_Register!S8</f>
        <v>Generate a test alert and confirm it reaches the named reviewer and is actioned in the agreed time; compare log sources with the asset inventory; update residual risk.</v>
      </c>
      <c r="I8" s="3" t="str">
        <f>Risk_Register!Q8</f>
        <v>Open</v>
      </c>
    </row>
    <row r="9" spans="1:9" ht="150" customHeight="1">
      <c r="A9" s="3" t="str">
        <f>Risk_Register!A9</f>
        <v>R-008</v>
      </c>
      <c r="B9" s="3" t="str">
        <f>Risk_Register!B9</f>
        <v>AST-001</v>
      </c>
      <c r="C9" s="3" t="s">
        <v>104</v>
      </c>
      <c r="D9" s="3" t="s">
        <v>150</v>
      </c>
      <c r="E9" s="3" t="str">
        <f>Risk_Register!O9</f>
        <v>Database Administrator</v>
      </c>
      <c r="F9" s="4">
        <f>Risk_Register!P9</f>
        <v>46337</v>
      </c>
      <c r="G9" s="3" t="str">
        <f>Risk_Register!R9</f>
        <v>User access list with roles; access review records and approvals; removed or adjusted accounts; sample of reviewed access logs.</v>
      </c>
      <c r="H9" s="3" t="str">
        <f>Risk_Register!S9</f>
        <v>Compare the access list with job roles and confirm excess access is removed; confirm access reviews take place on the agreed schedule; update residual risk.</v>
      </c>
      <c r="I9" s="3" t="str">
        <f>Risk_Register!Q9</f>
        <v>Open</v>
      </c>
    </row>
    <row r="10" spans="1:9">
      <c r="A10" s="5" t="s">
        <v>75</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topLeftCell="A7" zoomScaleNormal="100" workbookViewId="0">
      <selection activeCell="C25" sqref="C25"/>
    </sheetView>
  </sheetViews>
  <sheetFormatPr defaultColWidth="8.5546875" defaultRowHeight="14.4"/>
  <cols>
    <col min="1" max="1" width="18" customWidth="1"/>
    <col min="2" max="2" width="22" customWidth="1"/>
    <col min="3" max="3" width="70" customWidth="1"/>
  </cols>
  <sheetData>
    <row r="1" spans="1:3">
      <c r="A1" s="6" t="s">
        <v>76</v>
      </c>
    </row>
    <row r="3" spans="1:3" ht="28.8">
      <c r="A3" s="7" t="s">
        <v>77</v>
      </c>
      <c r="B3" s="8">
        <v>46307</v>
      </c>
      <c r="C3" s="3" t="s">
        <v>78</v>
      </c>
    </row>
    <row r="5" spans="1:3" ht="28.8">
      <c r="A5" s="6" t="s">
        <v>0</v>
      </c>
      <c r="B5" s="9" t="s">
        <v>79</v>
      </c>
    </row>
    <row r="6" spans="1:3">
      <c r="A6" s="7" t="s">
        <v>20</v>
      </c>
      <c r="B6" s="10">
        <v>21</v>
      </c>
    </row>
    <row r="7" spans="1:3">
      <c r="A7" s="7" t="s">
        <v>37</v>
      </c>
      <c r="B7" s="10">
        <v>14</v>
      </c>
    </row>
    <row r="8" spans="1:3">
      <c r="A8" s="7" t="s">
        <v>50</v>
      </c>
      <c r="B8" s="10">
        <v>30</v>
      </c>
    </row>
    <row r="9" spans="1:3">
      <c r="A9" s="7" t="s">
        <v>80</v>
      </c>
      <c r="B9" s="10">
        <v>21</v>
      </c>
    </row>
    <row r="10" spans="1:3">
      <c r="A10" s="7" t="s">
        <v>93</v>
      </c>
      <c r="B10" s="10">
        <v>30</v>
      </c>
    </row>
    <row r="11" spans="1:3">
      <c r="A11" s="7" t="s">
        <v>107</v>
      </c>
      <c r="B11" s="10">
        <v>30</v>
      </c>
    </row>
    <row r="12" spans="1:3">
      <c r="A12" s="7" t="s">
        <v>124</v>
      </c>
      <c r="B12" s="10">
        <v>21</v>
      </c>
    </row>
    <row r="13" spans="1:3">
      <c r="A13" s="7" t="s">
        <v>138</v>
      </c>
      <c r="B13" s="10">
        <v>30</v>
      </c>
    </row>
    <row r="14" spans="1:3">
      <c r="A14" t="s">
        <v>125</v>
      </c>
    </row>
    <row r="17" spans="1:1">
      <c r="A17" t="s">
        <v>120</v>
      </c>
    </row>
    <row r="18" spans="1:1">
      <c r="A18" t="s">
        <v>121</v>
      </c>
    </row>
    <row r="19" spans="1:1">
      <c r="A19" t="s">
        <v>122</v>
      </c>
    </row>
    <row r="20" spans="1:1">
      <c r="A20" t="s">
        <v>123</v>
      </c>
    </row>
    <row r="21" spans="1:1">
      <c r="A21" t="s">
        <v>137</v>
      </c>
    </row>
    <row r="23" spans="1:1">
      <c r="A23" s="17" t="s">
        <v>196</v>
      </c>
    </row>
    <row r="24" spans="1:1">
      <c r="A24" s="18" t="s">
        <v>197</v>
      </c>
    </row>
    <row r="25" spans="1:1">
      <c r="A25" s="18" t="s">
        <v>222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68C9-2209-4A0C-A25F-12A7AF8FA084}">
  <dimension ref="A1:Q3"/>
  <sheetViews>
    <sheetView workbookViewId="0">
      <selection activeCell="M2" sqref="M2"/>
    </sheetView>
  </sheetViews>
  <sheetFormatPr defaultRowHeight="14.4"/>
  <cols>
    <col min="2" max="2" width="13.5546875" customWidth="1"/>
    <col min="3" max="3" width="12.5546875" customWidth="1"/>
    <col min="4" max="4" width="19.109375" customWidth="1"/>
    <col min="5" max="5" width="20.109375" customWidth="1"/>
    <col min="6" max="6" width="19" customWidth="1"/>
    <col min="7" max="7" width="19.88671875" customWidth="1"/>
    <col min="8" max="8" width="24.88671875" customWidth="1"/>
    <col min="9" max="9" width="17.44140625" customWidth="1"/>
    <col min="10" max="10" width="13.21875" customWidth="1"/>
    <col min="11" max="11" width="10.5546875" customWidth="1"/>
    <col min="12" max="12" width="15.88671875" customWidth="1"/>
    <col min="13" max="13" width="16.109375" customWidth="1"/>
    <col min="14" max="14" width="19" customWidth="1"/>
    <col min="16" max="16" width="16.21875" customWidth="1"/>
    <col min="17" max="17" width="22.88671875" customWidth="1"/>
  </cols>
  <sheetData>
    <row r="1" spans="1:17">
      <c r="A1" t="s">
        <v>151</v>
      </c>
      <c r="B1" t="s">
        <v>152</v>
      </c>
      <c r="C1" t="s">
        <v>1</v>
      </c>
      <c r="D1" t="s">
        <v>153</v>
      </c>
      <c r="E1" t="s">
        <v>154</v>
      </c>
      <c r="F1" t="s">
        <v>155</v>
      </c>
      <c r="G1" t="s">
        <v>156</v>
      </c>
      <c r="H1" t="s">
        <v>157</v>
      </c>
      <c r="I1" t="s">
        <v>11</v>
      </c>
      <c r="J1" t="s">
        <v>13</v>
      </c>
      <c r="K1" t="s">
        <v>158</v>
      </c>
      <c r="L1" t="s">
        <v>159</v>
      </c>
      <c r="M1" t="s">
        <v>160</v>
      </c>
      <c r="N1" t="s">
        <v>161</v>
      </c>
      <c r="O1" t="s">
        <v>16</v>
      </c>
      <c r="P1" t="s">
        <v>17</v>
      </c>
      <c r="Q1" t="s">
        <v>162</v>
      </c>
    </row>
    <row r="2" spans="1:17" ht="144">
      <c r="A2" t="s">
        <v>163</v>
      </c>
      <c r="B2" t="s">
        <v>50</v>
      </c>
      <c r="C2" t="s">
        <v>51</v>
      </c>
      <c r="D2" t="s">
        <v>164</v>
      </c>
      <c r="E2" s="1" t="s">
        <v>165</v>
      </c>
      <c r="F2" s="1" t="s">
        <v>170</v>
      </c>
      <c r="G2" s="1" t="s">
        <v>171</v>
      </c>
      <c r="H2" s="1" t="s">
        <v>166</v>
      </c>
      <c r="I2" t="s">
        <v>167</v>
      </c>
      <c r="J2" s="1" t="s">
        <v>60</v>
      </c>
      <c r="K2" s="1" t="s">
        <v>172</v>
      </c>
      <c r="L2" s="1" t="s">
        <v>173</v>
      </c>
      <c r="M2" s="11">
        <f>Assumptions!$B$3</f>
        <v>46307</v>
      </c>
      <c r="N2" s="12">
        <f>M2+90</f>
        <v>46397</v>
      </c>
      <c r="O2" t="s">
        <v>33</v>
      </c>
      <c r="P2" s="1" t="s">
        <v>168</v>
      </c>
      <c r="Q2" s="1" t="s">
        <v>169</v>
      </c>
    </row>
    <row r="3" spans="1:17" ht="144">
      <c r="A3" t="s">
        <v>174</v>
      </c>
      <c r="B3" t="s">
        <v>37</v>
      </c>
      <c r="C3" t="s">
        <v>38</v>
      </c>
      <c r="D3" s="1" t="s">
        <v>175</v>
      </c>
      <c r="E3" s="1" t="s">
        <v>176</v>
      </c>
      <c r="F3" s="1" t="s">
        <v>177</v>
      </c>
      <c r="G3" s="1" t="s">
        <v>178</v>
      </c>
      <c r="H3" s="1" t="s">
        <v>179</v>
      </c>
      <c r="I3" t="s">
        <v>42</v>
      </c>
      <c r="J3" s="1" t="s">
        <v>46</v>
      </c>
      <c r="K3" s="1" t="s">
        <v>172</v>
      </c>
      <c r="L3" t="s">
        <v>173</v>
      </c>
      <c r="M3" s="13">
        <f>Assumptions!$B$3</f>
        <v>46307</v>
      </c>
      <c r="N3" s="14">
        <f>Assumptions!$B$3+Assumptions!$B$7</f>
        <v>46321</v>
      </c>
      <c r="O3" t="s">
        <v>33</v>
      </c>
      <c r="P3" s="1" t="s">
        <v>180</v>
      </c>
      <c r="Q3" s="1"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561F-B474-4385-A635-A8E3E753FEE6}">
  <dimension ref="A1:J18"/>
  <sheetViews>
    <sheetView topLeftCell="A16" zoomScale="130" zoomScaleNormal="130" workbookViewId="0">
      <selection activeCell="C8" sqref="C8"/>
    </sheetView>
  </sheetViews>
  <sheetFormatPr defaultRowHeight="14.4"/>
  <cols>
    <col min="1" max="1" width="13.5546875" customWidth="1"/>
    <col min="2" max="2" width="14.21875" customWidth="1"/>
    <col min="3" max="3" width="15.6640625" customWidth="1"/>
    <col min="4" max="4" width="16.88671875" customWidth="1"/>
    <col min="5" max="5" width="21.33203125" customWidth="1"/>
    <col min="6" max="6" width="14.88671875" customWidth="1"/>
    <col min="7" max="7" width="15" customWidth="1"/>
    <col min="8" max="8" width="20.88671875" customWidth="1"/>
    <col min="9" max="9" width="19.44140625" customWidth="1"/>
    <col min="10" max="10" width="17.6640625" customWidth="1"/>
  </cols>
  <sheetData>
    <row r="1" spans="1:10">
      <c r="A1" s="25" t="s">
        <v>203</v>
      </c>
      <c r="B1" s="25" t="s">
        <v>204</v>
      </c>
      <c r="C1" s="25" t="s">
        <v>152</v>
      </c>
      <c r="D1" s="25" t="s">
        <v>205</v>
      </c>
      <c r="E1" s="25" t="s">
        <v>307</v>
      </c>
      <c r="F1" s="25" t="s">
        <v>206</v>
      </c>
      <c r="G1" s="25" t="s">
        <v>207</v>
      </c>
      <c r="H1" s="25" t="s">
        <v>208</v>
      </c>
      <c r="I1" s="25" t="s">
        <v>209</v>
      </c>
      <c r="J1" s="25" t="s">
        <v>17</v>
      </c>
    </row>
    <row r="2" spans="1:10" ht="115.2">
      <c r="A2" s="1" t="s">
        <v>216</v>
      </c>
      <c r="B2" s="1" t="s">
        <v>217</v>
      </c>
      <c r="C2" s="1" t="s">
        <v>20</v>
      </c>
      <c r="D2" s="1" t="s">
        <v>223</v>
      </c>
      <c r="E2" s="1" t="s">
        <v>29</v>
      </c>
      <c r="F2" s="1" t="s">
        <v>224</v>
      </c>
      <c r="G2" s="1" t="s">
        <v>26</v>
      </c>
      <c r="H2" s="1" t="s">
        <v>225</v>
      </c>
      <c r="I2" s="1" t="str">
        <f>INDEX(Risk_Register!$O$2:$O$9,MATCH(C2,Risk_Register!$A$2:$A$9,0))</f>
        <v>Infrastructure Team</v>
      </c>
      <c r="J2" s="1" t="s">
        <v>226</v>
      </c>
    </row>
    <row r="3" spans="1:10" ht="100.8">
      <c r="A3" s="1" t="s">
        <v>227</v>
      </c>
      <c r="B3" s="1" t="s">
        <v>228</v>
      </c>
      <c r="C3" s="1" t="s">
        <v>20</v>
      </c>
      <c r="D3" s="1" t="s">
        <v>229</v>
      </c>
      <c r="E3" s="1" t="s">
        <v>29</v>
      </c>
      <c r="F3" s="1" t="s">
        <v>230</v>
      </c>
      <c r="G3" s="1" t="s">
        <v>26</v>
      </c>
      <c r="H3" s="1" t="s">
        <v>231</v>
      </c>
      <c r="I3" s="1" t="str">
        <f>INDEX(Risk_Register!$O$2:$O$9,MATCH(C2,Risk_Register!$A$2:$A$9,0))</f>
        <v>Infrastructure Team</v>
      </c>
      <c r="J3" s="1" t="s">
        <v>232</v>
      </c>
    </row>
    <row r="4" spans="1:10" ht="86.4">
      <c r="A4" s="1" t="s">
        <v>218</v>
      </c>
      <c r="B4" s="1" t="s">
        <v>219</v>
      </c>
      <c r="C4" s="1" t="s">
        <v>20</v>
      </c>
      <c r="D4" s="1" t="s">
        <v>233</v>
      </c>
      <c r="E4" s="1" t="s">
        <v>234</v>
      </c>
      <c r="F4" s="1" t="s">
        <v>235</v>
      </c>
      <c r="G4" s="1" t="s">
        <v>188</v>
      </c>
      <c r="H4" s="1" t="s">
        <v>236</v>
      </c>
      <c r="I4" s="1" t="str">
        <f>INDEX(Risk_Register!$O$2:$O$9,MATCH(C2,Risk_Register!$A$2:$A$9,0))</f>
        <v>Infrastructure Team</v>
      </c>
      <c r="J4" s="1" t="s">
        <v>237</v>
      </c>
    </row>
    <row r="5" spans="1:10" ht="144">
      <c r="A5" s="1" t="s">
        <v>216</v>
      </c>
      <c r="B5" s="1" t="s">
        <v>217</v>
      </c>
      <c r="C5" s="1" t="s">
        <v>37</v>
      </c>
      <c r="D5" s="1" t="s">
        <v>238</v>
      </c>
      <c r="E5" s="1" t="s">
        <v>239</v>
      </c>
      <c r="F5" s="1" t="s">
        <v>240</v>
      </c>
      <c r="G5" s="1" t="s">
        <v>26</v>
      </c>
      <c r="H5" s="1" t="s">
        <v>241</v>
      </c>
      <c r="I5" s="1" t="s">
        <v>47</v>
      </c>
      <c r="J5" s="1" t="s">
        <v>242</v>
      </c>
    </row>
    <row r="6" spans="1:10" ht="86.4">
      <c r="A6" s="1" t="s">
        <v>218</v>
      </c>
      <c r="B6" s="1" t="s">
        <v>219</v>
      </c>
      <c r="C6" s="1" t="s">
        <v>37</v>
      </c>
      <c r="D6" s="1" t="s">
        <v>243</v>
      </c>
      <c r="E6" s="1" t="s">
        <v>239</v>
      </c>
      <c r="F6" s="1" t="s">
        <v>244</v>
      </c>
      <c r="G6" s="1" t="s">
        <v>188</v>
      </c>
      <c r="H6" s="1" t="s">
        <v>245</v>
      </c>
      <c r="I6" s="1" t="s">
        <v>47</v>
      </c>
      <c r="J6" s="1" t="s">
        <v>246</v>
      </c>
    </row>
    <row r="7" spans="1:10" ht="100.8">
      <c r="A7" s="1" t="s">
        <v>212</v>
      </c>
      <c r="B7" s="1" t="s">
        <v>213</v>
      </c>
      <c r="C7" s="1" t="s">
        <v>50</v>
      </c>
      <c r="D7" s="1" t="s">
        <v>247</v>
      </c>
      <c r="E7" s="1" t="s">
        <v>239</v>
      </c>
      <c r="F7" s="1" t="s">
        <v>248</v>
      </c>
      <c r="G7" s="1" t="s">
        <v>26</v>
      </c>
      <c r="H7" s="1" t="s">
        <v>249</v>
      </c>
      <c r="I7" s="1" t="s">
        <v>61</v>
      </c>
      <c r="J7" s="1" t="s">
        <v>250</v>
      </c>
    </row>
    <row r="8" spans="1:10" ht="86.4">
      <c r="A8" s="1" t="s">
        <v>210</v>
      </c>
      <c r="B8" s="1" t="s">
        <v>211</v>
      </c>
      <c r="C8" s="1" t="s">
        <v>50</v>
      </c>
      <c r="D8" s="1" t="s">
        <v>251</v>
      </c>
      <c r="E8" s="1" t="s">
        <v>239</v>
      </c>
      <c r="F8" s="1" t="s">
        <v>252</v>
      </c>
      <c r="G8" s="1" t="s">
        <v>26</v>
      </c>
      <c r="H8" s="1" t="s">
        <v>253</v>
      </c>
      <c r="I8" s="1" t="s">
        <v>61</v>
      </c>
      <c r="J8" s="1" t="s">
        <v>254</v>
      </c>
    </row>
    <row r="9" spans="1:10" ht="72">
      <c r="A9" s="1" t="s">
        <v>255</v>
      </c>
      <c r="B9" s="1" t="s">
        <v>256</v>
      </c>
      <c r="C9" s="1" t="s">
        <v>50</v>
      </c>
      <c r="D9" s="1" t="s">
        <v>257</v>
      </c>
      <c r="E9" s="1" t="s">
        <v>239</v>
      </c>
      <c r="F9" s="1" t="s">
        <v>258</v>
      </c>
      <c r="G9" s="1" t="s">
        <v>42</v>
      </c>
      <c r="H9" s="1" t="s">
        <v>259</v>
      </c>
      <c r="I9" s="1" t="s">
        <v>61</v>
      </c>
      <c r="J9" s="1" t="s">
        <v>260</v>
      </c>
    </row>
    <row r="10" spans="1:10" ht="86.4">
      <c r="A10" s="1" t="s">
        <v>227</v>
      </c>
      <c r="B10" s="1" t="s">
        <v>228</v>
      </c>
      <c r="C10" s="1" t="s">
        <v>50</v>
      </c>
      <c r="D10" s="1" t="s">
        <v>261</v>
      </c>
      <c r="E10" s="1" t="s">
        <v>239</v>
      </c>
      <c r="F10" s="1" t="s">
        <v>262</v>
      </c>
      <c r="G10" s="1" t="s">
        <v>26</v>
      </c>
      <c r="H10" s="1" t="s">
        <v>263</v>
      </c>
      <c r="I10" s="1" t="s">
        <v>61</v>
      </c>
      <c r="J10" s="1" t="s">
        <v>264</v>
      </c>
    </row>
    <row r="11" spans="1:10" ht="86.4">
      <c r="A11" s="1" t="s">
        <v>265</v>
      </c>
      <c r="B11" s="1" t="s">
        <v>266</v>
      </c>
      <c r="C11" s="1" t="s">
        <v>80</v>
      </c>
      <c r="D11" s="1" t="s">
        <v>267</v>
      </c>
      <c r="E11" s="1" t="s">
        <v>239</v>
      </c>
      <c r="F11" s="1" t="s">
        <v>268</v>
      </c>
      <c r="G11" s="1" t="s">
        <v>26</v>
      </c>
      <c r="H11" s="1" t="s">
        <v>269</v>
      </c>
      <c r="I11" s="1" t="s">
        <v>90</v>
      </c>
      <c r="J11" s="1" t="s">
        <v>270</v>
      </c>
    </row>
    <row r="12" spans="1:10" ht="115.2">
      <c r="A12" s="1" t="s">
        <v>220</v>
      </c>
      <c r="B12" s="1" t="s">
        <v>221</v>
      </c>
      <c r="C12" s="1" t="s">
        <v>93</v>
      </c>
      <c r="D12" s="1" t="s">
        <v>271</v>
      </c>
      <c r="E12" s="1" t="s">
        <v>239</v>
      </c>
      <c r="F12" s="1" t="s">
        <v>272</v>
      </c>
      <c r="G12" s="1" t="s">
        <v>26</v>
      </c>
      <c r="H12" s="1" t="s">
        <v>273</v>
      </c>
      <c r="I12" s="1" t="s">
        <v>101</v>
      </c>
      <c r="J12" s="1" t="s">
        <v>274</v>
      </c>
    </row>
    <row r="13" spans="1:10" ht="100.8">
      <c r="A13" s="1" t="s">
        <v>275</v>
      </c>
      <c r="B13" s="1" t="s">
        <v>276</v>
      </c>
      <c r="C13" s="1" t="s">
        <v>107</v>
      </c>
      <c r="D13" s="1" t="s">
        <v>277</v>
      </c>
      <c r="E13" s="1" t="s">
        <v>239</v>
      </c>
      <c r="F13" s="1" t="s">
        <v>278</v>
      </c>
      <c r="G13" s="1" t="s">
        <v>42</v>
      </c>
      <c r="H13" s="1" t="s">
        <v>279</v>
      </c>
      <c r="I13" s="1" t="s">
        <v>116</v>
      </c>
      <c r="J13" s="1" t="s">
        <v>280</v>
      </c>
    </row>
    <row r="14" spans="1:10" ht="86.4">
      <c r="A14" s="1" t="s">
        <v>281</v>
      </c>
      <c r="B14" s="1" t="s">
        <v>282</v>
      </c>
      <c r="C14" s="1" t="s">
        <v>107</v>
      </c>
      <c r="D14" s="1" t="s">
        <v>283</v>
      </c>
      <c r="E14" s="1" t="s">
        <v>308</v>
      </c>
      <c r="F14" s="1" t="s">
        <v>284</v>
      </c>
      <c r="G14" s="1" t="s">
        <v>42</v>
      </c>
      <c r="H14" s="1" t="s">
        <v>285</v>
      </c>
      <c r="I14" s="1" t="s">
        <v>116</v>
      </c>
      <c r="J14" s="1" t="s">
        <v>286</v>
      </c>
    </row>
    <row r="15" spans="1:10" ht="86.4">
      <c r="A15" s="1" t="s">
        <v>255</v>
      </c>
      <c r="B15" s="1" t="s">
        <v>256</v>
      </c>
      <c r="C15" s="1" t="s">
        <v>124</v>
      </c>
      <c r="D15" s="1" t="s">
        <v>287</v>
      </c>
      <c r="E15" s="1" t="s">
        <v>239</v>
      </c>
      <c r="F15" s="1" t="s">
        <v>288</v>
      </c>
      <c r="G15" s="1" t="s">
        <v>42</v>
      </c>
      <c r="H15" s="1" t="s">
        <v>289</v>
      </c>
      <c r="I15" s="1" t="s">
        <v>133</v>
      </c>
      <c r="J15" s="1" t="s">
        <v>290</v>
      </c>
    </row>
    <row r="16" spans="1:10" ht="72">
      <c r="A16" s="1" t="s">
        <v>291</v>
      </c>
      <c r="B16" s="1" t="s">
        <v>292</v>
      </c>
      <c r="C16" s="1" t="s">
        <v>124</v>
      </c>
      <c r="D16" s="1" t="s">
        <v>293</v>
      </c>
      <c r="E16" s="1" t="s">
        <v>239</v>
      </c>
      <c r="F16" s="1" t="s">
        <v>294</v>
      </c>
      <c r="G16" s="1" t="s">
        <v>306</v>
      </c>
      <c r="H16" s="1" t="s">
        <v>295</v>
      </c>
      <c r="I16" s="1" t="s">
        <v>133</v>
      </c>
      <c r="J16" s="1" t="s">
        <v>296</v>
      </c>
    </row>
    <row r="17" spans="1:10" ht="100.8">
      <c r="A17" s="1" t="s">
        <v>297</v>
      </c>
      <c r="B17" s="1" t="s">
        <v>298</v>
      </c>
      <c r="C17" s="1" t="s">
        <v>138</v>
      </c>
      <c r="D17" s="1" t="s">
        <v>299</v>
      </c>
      <c r="E17" s="1" t="s">
        <v>239</v>
      </c>
      <c r="F17" s="1" t="s">
        <v>300</v>
      </c>
      <c r="G17" s="1" t="s">
        <v>42</v>
      </c>
      <c r="H17" s="1" t="s">
        <v>301</v>
      </c>
      <c r="I17" s="1" t="s">
        <v>147</v>
      </c>
      <c r="J17" s="1" t="s">
        <v>302</v>
      </c>
    </row>
    <row r="18" spans="1:10" ht="100.8">
      <c r="A18" s="1" t="s">
        <v>214</v>
      </c>
      <c r="B18" s="1" t="s">
        <v>215</v>
      </c>
      <c r="C18" s="1" t="s">
        <v>138</v>
      </c>
      <c r="D18" s="1" t="s">
        <v>299</v>
      </c>
      <c r="E18" s="1" t="s">
        <v>239</v>
      </c>
      <c r="F18" s="1" t="s">
        <v>303</v>
      </c>
      <c r="G18" s="1" t="s">
        <v>42</v>
      </c>
      <c r="H18" s="1" t="s">
        <v>304</v>
      </c>
      <c r="I18" s="1" t="s">
        <v>147</v>
      </c>
      <c r="J18" s="1" t="s">
        <v>305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1CC1-77CE-42DA-B1F8-A657895021B9}">
  <dimension ref="A1:J18"/>
  <sheetViews>
    <sheetView tabSelected="1" workbookViewId="0">
      <selection activeCell="H2" sqref="H2:H18"/>
    </sheetView>
  </sheetViews>
  <sheetFormatPr defaultRowHeight="14.4"/>
  <cols>
    <col min="1" max="1" width="9.77734375" customWidth="1"/>
    <col min="2" max="2" width="13.88671875" customWidth="1"/>
    <col min="3" max="3" width="12.44140625" customWidth="1"/>
    <col min="4" max="4" width="14.21875" customWidth="1"/>
    <col min="5" max="5" width="17.21875" customWidth="1"/>
    <col min="7" max="8" width="13.77734375" customWidth="1"/>
    <col min="9" max="9" width="16.33203125" customWidth="1"/>
    <col min="10" max="10" width="10" customWidth="1"/>
  </cols>
  <sheetData>
    <row r="1" spans="1:10">
      <c r="A1" t="s">
        <v>309</v>
      </c>
      <c r="B1" t="s">
        <v>152</v>
      </c>
      <c r="C1" t="s">
        <v>203</v>
      </c>
      <c r="D1" t="s">
        <v>310</v>
      </c>
      <c r="E1" t="s">
        <v>311</v>
      </c>
      <c r="F1" t="s">
        <v>312</v>
      </c>
      <c r="G1" t="s">
        <v>14</v>
      </c>
      <c r="H1" t="s">
        <v>68</v>
      </c>
      <c r="I1" t="s">
        <v>17</v>
      </c>
      <c r="J1" t="s">
        <v>16</v>
      </c>
    </row>
    <row r="2" spans="1:10" ht="115.2">
      <c r="A2" t="s">
        <v>313</v>
      </c>
      <c r="B2" t="str">
        <f>ISO27001_Gap_Assessment!C2</f>
        <v>R-001</v>
      </c>
      <c r="C2" t="str">
        <f>ISO27001_Gap_Assessment!A2</f>
        <v>A.8.8</v>
      </c>
      <c r="D2" s="1" t="str">
        <f>ISO27001_Gap_Assessment!F2</f>
        <v>Known RCE vulnerability requires remediation; WAF effectiveness has not been validated</v>
      </c>
      <c r="E2" s="1" t="str">
        <f>ISO27001_Gap_Assessment!H2</f>
        <v>Remediate the RCE vulnerability, validate WAF protection, and verify remediation</v>
      </c>
      <c r="F2" t="str">
        <f>ISO27001_Gap_Assessment!G2</f>
        <v>High</v>
      </c>
      <c r="G2" s="1" t="str">
        <f>ISO27001_Gap_Assessment!I2</f>
        <v>Infrastructure Team</v>
      </c>
      <c r="H2" s="27">
        <v>46328</v>
      </c>
      <c r="I2" s="1" t="str">
        <f>ISO27001_Gap_Assessment!J2</f>
        <v>Vulnerability scan results; WAF validation results; patch/remediation record</v>
      </c>
      <c r="J2" t="s">
        <v>330</v>
      </c>
    </row>
    <row r="3" spans="1:10" ht="100.8">
      <c r="A3" t="s">
        <v>314</v>
      </c>
      <c r="B3" t="str">
        <f>ISO27001_Gap_Assessment!C3</f>
        <v>R-001</v>
      </c>
      <c r="C3" t="str">
        <f>ISO27001_Gap_Assessment!A3</f>
        <v>A.8.20</v>
      </c>
      <c r="D3" s="1" t="str">
        <f>ISO27001_Gap_Assessment!F3</f>
        <v>Effectiveness of network security protections against the identified RCE risk has not been confirmed</v>
      </c>
      <c r="E3" s="1" t="str">
        <f>ISO27001_Gap_Assessment!H3</f>
        <v>Review network security configuration and validate protections for the customer portal</v>
      </c>
      <c r="F3" t="str">
        <f>ISO27001_Gap_Assessment!G3</f>
        <v>High</v>
      </c>
      <c r="G3" s="1" t="str">
        <f>ISO27001_Gap_Assessment!I3</f>
        <v>Infrastructure Team</v>
      </c>
      <c r="H3" s="27">
        <v>46328</v>
      </c>
      <c r="I3" s="1" t="str">
        <f>ISO27001_Gap_Assessment!J3</f>
        <v>Network architecture; firewall rules; network security configuration and test evidence</v>
      </c>
      <c r="J3" t="s">
        <v>330</v>
      </c>
    </row>
    <row r="4" spans="1:10" ht="86.4">
      <c r="A4" t="s">
        <v>315</v>
      </c>
      <c r="B4" s="1" t="str">
        <f>ISO27001_Gap_Assessment!C4</f>
        <v>R-001</v>
      </c>
      <c r="C4" s="1" t="str">
        <f>ISO27001_Gap_Assessment!A4</f>
        <v>A.8.22</v>
      </c>
      <c r="D4" s="1" t="str">
        <f>ISO27001_Gap_Assessment!F4</f>
        <v>Insufficient scenario evidence to establish a network segregation gap</v>
      </c>
      <c r="E4" s="1" t="str">
        <f>ISO27001_Gap_Assessment!H4</f>
        <v>Review network architecture and determine whether segmentation is applicable and effective</v>
      </c>
      <c r="F4" s="1" t="str">
        <f>ISO27001_Gap_Assessment!G4</f>
        <v>Low</v>
      </c>
      <c r="G4" s="1" t="str">
        <f>ISO27001_Gap_Assessment!I4</f>
        <v>Infrastructure Team</v>
      </c>
      <c r="H4" s="27">
        <v>46328</v>
      </c>
      <c r="I4" s="1" t="str">
        <f>ISO27001_Gap_Assessment!J4</f>
        <v>Network diagram; segmentation rules; configuration evidence</v>
      </c>
      <c r="J4" t="s">
        <v>330</v>
      </c>
    </row>
    <row r="5" spans="1:10" ht="115.2">
      <c r="A5" t="s">
        <v>316</v>
      </c>
      <c r="B5" t="str">
        <f>ISO27001_Gap_Assessment!C5</f>
        <v>R-002</v>
      </c>
      <c r="C5" t="str">
        <f>ISO27001_Gap_Assessment!A5</f>
        <v>A.8.8</v>
      </c>
      <c r="D5" s="1" t="str">
        <f>ISO27001_Gap_Assessment!F5</f>
        <v>Vulnerability remediation remains necessary; network segmentation is reported effective</v>
      </c>
      <c r="E5" s="1" t="str">
        <f>ISO27001_Gap_Assessment!H5</f>
        <v>Remediate the vulnerability and verify the fix through a vulnerability scan</v>
      </c>
      <c r="F5" t="str">
        <f>ISO27001_Gap_Assessment!G5</f>
        <v>High</v>
      </c>
      <c r="G5" s="1" t="str">
        <f>ISO27001_Gap_Assessment!I5</f>
        <v>Database/Infrastructure Team</v>
      </c>
      <c r="H5" s="27">
        <v>46321</v>
      </c>
      <c r="I5" s="1" t="str">
        <f>ISO27001_Gap_Assessment!J5</f>
        <v>Vulnerability scan results; patch record; verification scan</v>
      </c>
      <c r="J5" t="s">
        <v>330</v>
      </c>
    </row>
    <row r="6" spans="1:10" ht="86.4">
      <c r="A6" t="s">
        <v>317</v>
      </c>
      <c r="B6" t="str">
        <f>ISO27001_Gap_Assessment!C6</f>
        <v>R-002</v>
      </c>
      <c r="C6" t="str">
        <f>ISO27001_Gap_Assessment!A6</f>
        <v>A.8.22</v>
      </c>
      <c r="D6" s="1" t="str">
        <f>ISO27001_Gap_Assessment!F6</f>
        <v>Existing segmentation reported effective; no confirmed gap identified</v>
      </c>
      <c r="E6" s="1" t="str">
        <f>ISO27001_Gap_Assessment!H6</f>
        <v>Retain segmentation and periodically verify authorised connectivity</v>
      </c>
      <c r="F6" t="str">
        <f>ISO27001_Gap_Assessment!G6</f>
        <v>Low</v>
      </c>
      <c r="G6" s="1" t="str">
        <f>ISO27001_Gap_Assessment!I6</f>
        <v>Database/Infrastructure Team</v>
      </c>
      <c r="H6" s="27">
        <v>46321</v>
      </c>
      <c r="I6" s="1" t="str">
        <f>ISO27001_Gap_Assessment!J6</f>
        <v>Network diagram; segmentation rules; connectivity test results</v>
      </c>
      <c r="J6" t="s">
        <v>330</v>
      </c>
    </row>
    <row r="7" spans="1:10" ht="100.8">
      <c r="A7" t="s">
        <v>318</v>
      </c>
      <c r="B7" t="str">
        <f>ISO27001_Gap_Assessment!C7</f>
        <v>R-003</v>
      </c>
      <c r="C7" t="str">
        <f>ISO27001_Gap_Assessment!A7</f>
        <v>A.8.2</v>
      </c>
      <c r="D7" s="1" t="str">
        <f>ISO27001_Gap_Assessment!F7</f>
        <v>Excessive administrative privileges increase the impact if an account is compromised</v>
      </c>
      <c r="E7" s="1" t="str">
        <f>ISO27001_Gap_Assessment!H7</f>
        <v>Review and reduce privileges to the minimum required</v>
      </c>
      <c r="F7" t="str">
        <f>ISO27001_Gap_Assessment!G7</f>
        <v>High</v>
      </c>
      <c r="G7" t="str">
        <f>ISO27001_Gap_Assessment!I7</f>
        <v>IAM Team</v>
      </c>
      <c r="H7" s="27">
        <v>46337</v>
      </c>
      <c r="I7" s="1" t="str">
        <f>ISO27001_Gap_Assessment!J7</f>
        <v>Service account inventory; privilege assignments; access review evidence</v>
      </c>
      <c r="J7" t="s">
        <v>330</v>
      </c>
    </row>
    <row r="8" spans="1:10" ht="86.4">
      <c r="A8" t="s">
        <v>319</v>
      </c>
      <c r="B8" t="str">
        <f>ISO27001_Gap_Assessment!C8</f>
        <v>R-003</v>
      </c>
      <c r="C8" t="str">
        <f>ISO27001_Gap_Assessment!A8</f>
        <v>A.8.5</v>
      </c>
      <c r="D8" s="1" t="str">
        <f>ISO27001_Gap_Assessment!F8</f>
        <v>MFA is not enabled for the five privileged service accounts</v>
      </c>
      <c r="E8" s="1" t="str">
        <f>ISO27001_Gap_Assessment!H8</f>
        <v>Implement appropriate strong authentication and verify its effectiveness</v>
      </c>
      <c r="F8" t="str">
        <f>ISO27001_Gap_Assessment!G8</f>
        <v>High</v>
      </c>
      <c r="G8" t="str">
        <f>ISO27001_Gap_Assessment!I8</f>
        <v>IAM Team</v>
      </c>
      <c r="H8" s="27">
        <v>46337</v>
      </c>
      <c r="I8" s="1" t="str">
        <f>ISO27001_Gap_Assessment!J8</f>
        <v>Service account inventory; MFA configuration; authentication policy; verification evidence</v>
      </c>
      <c r="J8" t="s">
        <v>330</v>
      </c>
    </row>
    <row r="9" spans="1:10" ht="86.4">
      <c r="A9" t="s">
        <v>320</v>
      </c>
      <c r="B9" t="str">
        <f>ISO27001_Gap_Assessment!C9</f>
        <v>R-003</v>
      </c>
      <c r="C9" t="str">
        <f>ISO27001_Gap_Assessment!A9</f>
        <v>A.8.16</v>
      </c>
      <c r="D9" s="1" t="str">
        <f>ISO27001_Gap_Assessment!F9</f>
        <v>Alerts may go unnoticed because they are not routinely reviewed</v>
      </c>
      <c r="E9" s="1" t="str">
        <f>ISO27001_Gap_Assessment!H9</f>
        <v>Assign a responsible reviewer and establish a documented alert-review process</v>
      </c>
      <c r="F9" t="str">
        <f>ISO27001_Gap_Assessment!G9</f>
        <v>Medium</v>
      </c>
      <c r="G9" t="str">
        <f>ISO27001_Gap_Assessment!I9</f>
        <v>IAM Team</v>
      </c>
      <c r="H9" s="27">
        <v>46337</v>
      </c>
      <c r="I9" s="1" t="str">
        <f>ISO27001_Gap_Assessment!J9</f>
        <v>Monitoring configuration; alert-review records; review procedure</v>
      </c>
      <c r="J9" t="s">
        <v>330</v>
      </c>
    </row>
    <row r="10" spans="1:10" ht="86.4">
      <c r="A10" t="s">
        <v>321</v>
      </c>
      <c r="B10" t="str">
        <f>ISO27001_Gap_Assessment!C10</f>
        <v>R-003</v>
      </c>
      <c r="C10" t="str">
        <f>ISO27001_Gap_Assessment!A10</f>
        <v>A.8.20</v>
      </c>
      <c r="D10" s="1" t="str">
        <f>ISO27001_Gap_Assessment!F10</f>
        <v>Network restrictions are not in place for the privileged service accounts</v>
      </c>
      <c r="E10" s="1" t="str">
        <f>ISO27001_Gap_Assessment!H10</f>
        <v>Restrict service-account access to approved systems and network paths</v>
      </c>
      <c r="F10" t="str">
        <f>ISO27001_Gap_Assessment!G10</f>
        <v>High</v>
      </c>
      <c r="G10" t="str">
        <f>ISO27001_Gap_Assessment!I10</f>
        <v>IAM Team</v>
      </c>
      <c r="H10" s="27">
        <v>46337</v>
      </c>
      <c r="I10" s="1" t="str">
        <f>ISO27001_Gap_Assessment!J10</f>
        <v>Network diagrams; access rules; service-account configuration; connectivity test results</v>
      </c>
      <c r="J10" t="s">
        <v>330</v>
      </c>
    </row>
    <row r="11" spans="1:10" ht="115.2">
      <c r="A11" t="s">
        <v>322</v>
      </c>
      <c r="B11" t="str">
        <f>ISO27001_Gap_Assessment!C11</f>
        <v>R-004</v>
      </c>
      <c r="C11" t="str">
        <f>ISO27001_Gap_Assessment!A11</f>
        <v>A.8.13</v>
      </c>
      <c r="D11" s="1" t="str">
        <f>ISO27001_Gap_Assessment!F11</f>
        <v>Backup protection and recovery testing are inadequate</v>
      </c>
      <c r="E11" s="1" t="str">
        <f>ISO27001_Gap_Assessment!H11</f>
        <v>Implement offline or immutable backup copies and perform regular restore tests</v>
      </c>
      <c r="F11" t="str">
        <f>ISO27001_Gap_Assessment!G11</f>
        <v>High</v>
      </c>
      <c r="G11" s="1" t="str">
        <f>ISO27001_Gap_Assessment!I11</f>
        <v>Backup Administrator</v>
      </c>
      <c r="H11" s="27">
        <v>46328</v>
      </c>
      <c r="I11" s="1" t="str">
        <f>ISO27001_Gap_Assessment!J11</f>
        <v>Backup configuration; backup storage settings; restore test results; backup and recovery procedure</v>
      </c>
      <c r="J11" t="s">
        <v>330</v>
      </c>
    </row>
    <row r="12" spans="1:10" ht="86.4">
      <c r="A12" t="s">
        <v>323</v>
      </c>
      <c r="B12" t="str">
        <f>ISO27001_Gap_Assessment!C12</f>
        <v>R-005</v>
      </c>
      <c r="C12" t="str">
        <f>ISO27001_Gap_Assessment!A12</f>
        <v>A.8.7</v>
      </c>
      <c r="D12" s="1" t="str">
        <f>ISO27001_Gap_Assessment!F12</f>
        <v>Some endpoints lack EDR protection, creating a gap in malware detection</v>
      </c>
      <c r="E12" s="1" t="str">
        <f>ISO27001_Gap_Assessment!H12</f>
        <v>Identify uncovered endpoints and extend appropriate EDR protection to all in-scope managed endpoints</v>
      </c>
      <c r="F12" t="str">
        <f>ISO27001_Gap_Assessment!G12</f>
        <v>High</v>
      </c>
      <c r="G12" s="1" t="str">
        <f>ISO27001_Gap_Assessment!I12</f>
        <v>Endpoint Management Team</v>
      </c>
      <c r="H12" s="27">
        <v>46337</v>
      </c>
      <c r="I12" s="1" t="str">
        <f>ISO27001_Gap_Assessment!J12</f>
        <v>Endpoint inventory; EDR coverage report; deployment records; detection test results</v>
      </c>
      <c r="J12" t="s">
        <v>330</v>
      </c>
    </row>
    <row r="13" spans="1:10" ht="72">
      <c r="A13" t="s">
        <v>324</v>
      </c>
      <c r="B13" t="str">
        <f>ISO27001_Gap_Assessment!C13</f>
        <v>R-006</v>
      </c>
      <c r="C13" t="str">
        <f>ISO27001_Gap_Assessment!A13</f>
        <v>A.5.19</v>
      </c>
      <c r="D13" s="1" t="str">
        <f>ISO27001_Gap_Assessment!F13</f>
        <v>Supplier security risks are not reviewed regularly</v>
      </c>
      <c r="E13" s="1" t="str">
        <f>ISO27001_Gap_Assessment!H13</f>
        <v>Conduct a supplier security review and establish a regular review process</v>
      </c>
      <c r="F13" t="str">
        <f>ISO27001_Gap_Assessment!G13</f>
        <v>Medium</v>
      </c>
      <c r="G13" s="1" t="str">
        <f>ISO27001_Gap_Assessment!I13</f>
        <v>IT Operations Team</v>
      </c>
      <c r="H13" s="27">
        <v>46337</v>
      </c>
      <c r="I13" s="1" t="str">
        <f>ISO27001_Gap_Assessment!J13</f>
        <v>Supplier security assessment; review records; supplier access inventory</v>
      </c>
      <c r="J13" t="s">
        <v>330</v>
      </c>
    </row>
    <row r="14" spans="1:10" ht="100.8">
      <c r="A14" t="s">
        <v>325</v>
      </c>
      <c r="B14" t="str">
        <f>ISO27001_Gap_Assessment!C14</f>
        <v>R-006</v>
      </c>
      <c r="C14" t="str">
        <f>ISO27001_Gap_Assessment!A14</f>
        <v>A.5.20</v>
      </c>
      <c r="D14" s="1" t="str">
        <f>ISO27001_Gap_Assessment!F14</f>
        <v>The contract does not define these security requirements</v>
      </c>
      <c r="E14" s="1" t="str">
        <f>ISO27001_Gap_Assessment!H14</f>
        <v>Update the supplier agreement to include appropriate security audit rights and incident notification requirements</v>
      </c>
      <c r="F14" t="str">
        <f>ISO27001_Gap_Assessment!G14</f>
        <v>Medium</v>
      </c>
      <c r="G14" s="1" t="str">
        <f>ISO27001_Gap_Assessment!I14</f>
        <v>IT Operations Team</v>
      </c>
      <c r="H14" s="27">
        <v>46337</v>
      </c>
      <c r="I14" s="1" t="str">
        <f>ISO27001_Gap_Assessment!J14</f>
        <v>Supplier contract; security clauses; incident notification requirements; audit rights</v>
      </c>
      <c r="J14" t="s">
        <v>330</v>
      </c>
    </row>
    <row r="15" spans="1:10" ht="115.2">
      <c r="A15" t="s">
        <v>326</v>
      </c>
      <c r="B15" t="str">
        <f>ISO27001_Gap_Assessment!C15</f>
        <v>R-007</v>
      </c>
      <c r="C15" t="str">
        <f>ISO27001_Gap_Assessment!A15</f>
        <v>A.8.16</v>
      </c>
      <c r="D15" s="1" t="str">
        <f>ISO27001_Gap_Assessment!F15</f>
        <v>Monitoring activities are not consistently reviewed and escalated</v>
      </c>
      <c r="E15" s="1" t="str">
        <f>ISO27001_Gap_Assessment!H15</f>
        <v>Assign a responsible reviewer and establish documented alert-review and escalation procedures</v>
      </c>
      <c r="F15" t="str">
        <f>ISO27001_Gap_Assessment!G15</f>
        <v>Medium</v>
      </c>
      <c r="G15" s="1" t="str">
        <f>ISO27001_Gap_Assessment!I15</f>
        <v>Security Operations Team</v>
      </c>
      <c r="H15" s="27">
        <v>46328</v>
      </c>
      <c r="I15" s="1" t="str">
        <f>ISO27001_Gap_Assessment!J15</f>
        <v>Monitoring procedures; alert-review records; escalation procedure</v>
      </c>
      <c r="J15" t="s">
        <v>330</v>
      </c>
    </row>
    <row r="16" spans="1:10" ht="86.4">
      <c r="A16" t="s">
        <v>327</v>
      </c>
      <c r="B16" t="str">
        <f>ISO27001_Gap_Assessment!C16</f>
        <v>R-007</v>
      </c>
      <c r="C16" t="str">
        <f>ISO27001_Gap_Assessment!A16</f>
        <v>A.8.15</v>
      </c>
      <c r="D16" s="1" t="str">
        <f>ISO27001_Gap_Assessment!F16</f>
        <v>Logging coverage for critical systems has not been verified</v>
      </c>
      <c r="E16" s="1" t="str">
        <f>ISO27001_Gap_Assessment!H16</f>
        <v>Inventory critical systems and verify that required security logs are generated, stored, and protected</v>
      </c>
      <c r="F16" t="str">
        <f>ISO27001_Gap_Assessment!G16</f>
        <v xml:space="preserve"> Medium</v>
      </c>
      <c r="G16" s="1" t="str">
        <f>ISO27001_Gap_Assessment!I16</f>
        <v>Security Operations Team</v>
      </c>
      <c r="H16" s="27">
        <v>46328</v>
      </c>
      <c r="I16" s="1" t="str">
        <f>ISO27001_Gap_Assessment!J16</f>
        <v>Log-source inventory; logging configuration; log retention settings; validation results</v>
      </c>
      <c r="J16" t="s">
        <v>330</v>
      </c>
    </row>
    <row r="17" spans="1:10" ht="115.2">
      <c r="A17" t="s">
        <v>328</v>
      </c>
      <c r="B17" t="str">
        <f>ISO27001_Gap_Assessment!C17</f>
        <v>R-008</v>
      </c>
      <c r="C17" t="str">
        <f>ISO27001_Gap_Assessment!A17</f>
        <v>A.5.15</v>
      </c>
      <c r="D17" s="1" t="str">
        <f>ISO27001_Gap_Assessment!F17</f>
        <v>The overall access control framework must ensure access to patient records is restricted appropriately</v>
      </c>
      <c r="E17" s="1" t="str">
        <f>ISO27001_Gap_Assessment!H17</f>
        <v>Review access control rules to ensure patient-record access is restricted according to users' roles and business needs</v>
      </c>
      <c r="F17" t="str">
        <f>ISO27001_Gap_Assessment!G17</f>
        <v>Medium</v>
      </c>
      <c r="G17" s="1" t="str">
        <f>ISO27001_Gap_Assessment!I17</f>
        <v>Database Administrator</v>
      </c>
      <c r="H17" s="27">
        <v>46337</v>
      </c>
      <c r="I17" s="1" t="str">
        <f>ISO27001_Gap_Assessment!J17</f>
        <v>Access control policy; role-based access matrix; patient-record access rules</v>
      </c>
      <c r="J17" t="s">
        <v>330</v>
      </c>
    </row>
    <row r="18" spans="1:10" ht="115.2">
      <c r="A18" t="s">
        <v>329</v>
      </c>
      <c r="B18" t="str">
        <f>ISO27001_Gap_Assessment!C18</f>
        <v>R-008</v>
      </c>
      <c r="C18" t="str">
        <f>ISO27001_Gap_Assessment!A18</f>
        <v>A.5.18</v>
      </c>
      <c r="D18" s="1" t="str">
        <f>ISO27001_Gap_Assessment!F18</f>
        <v>Periodic reviews are not performed, so users may retain excessive access to patient records</v>
      </c>
      <c r="E18" s="1" t="str">
        <f>ISO27001_Gap_Assessment!H18</f>
        <v>Implement periodic access reviews, confirm permissions remain appropriate, and remove unnecessary access</v>
      </c>
      <c r="F18" t="str">
        <f>ISO27001_Gap_Assessment!G18</f>
        <v>Medium</v>
      </c>
      <c r="G18" s="1" t="str">
        <f>ISO27001_Gap_Assessment!I18</f>
        <v>Database Administrator</v>
      </c>
      <c r="H18" s="27">
        <v>46337</v>
      </c>
      <c r="I18" s="1" t="str">
        <f>ISO27001_Gap_Assessment!J18</f>
        <v>User access list; access review records; approval records; access-removal evidence</v>
      </c>
      <c r="J18" t="s">
        <v>330</v>
      </c>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4311-3255-4E44-9383-C0ADF5F876B7}">
  <dimension ref="A1:H24"/>
  <sheetViews>
    <sheetView showGridLines="0" topLeftCell="A3" workbookViewId="0">
      <selection activeCell="F6" sqref="F6"/>
    </sheetView>
  </sheetViews>
  <sheetFormatPr defaultRowHeight="14.4"/>
  <cols>
    <col min="6" max="6" width="18.21875" customWidth="1"/>
  </cols>
  <sheetData>
    <row r="1" spans="1:8" ht="21">
      <c r="A1" s="26" t="s">
        <v>182</v>
      </c>
      <c r="B1" s="26"/>
      <c r="C1" s="26"/>
      <c r="D1" s="26"/>
      <c r="E1" s="26"/>
      <c r="F1" s="26"/>
      <c r="G1" s="26"/>
      <c r="H1" s="26"/>
    </row>
    <row r="2" spans="1:8">
      <c r="A2" t="s">
        <v>183</v>
      </c>
    </row>
    <row r="4" spans="1:8">
      <c r="A4" s="20" t="s">
        <v>184</v>
      </c>
      <c r="B4" s="19"/>
      <c r="C4" s="20" t="s">
        <v>185</v>
      </c>
      <c r="D4" s="19"/>
      <c r="E4" s="19"/>
      <c r="F4" s="24" t="s">
        <v>186</v>
      </c>
      <c r="G4" s="19"/>
      <c r="H4" s="20" t="s">
        <v>187</v>
      </c>
    </row>
    <row r="5" spans="1:8">
      <c r="A5" s="19">
        <f>COUNTA(Risk_Register!A2:A100)</f>
        <v>8</v>
      </c>
      <c r="B5" s="19"/>
      <c r="C5" s="19">
        <f>COUNTIF(Risk_Register!I2:I100,"High")</f>
        <v>8</v>
      </c>
      <c r="D5" s="19"/>
      <c r="E5" s="19"/>
      <c r="F5" s="19">
        <f>COUNTIF(Risk_Register!Q2:Q100,"Open*")</f>
        <v>8</v>
      </c>
      <c r="G5" s="19"/>
      <c r="H5" s="19">
        <f>COUNTIF(Risk_Register!Q2:Q100,"Closed")</f>
        <v>0</v>
      </c>
    </row>
    <row r="6" spans="1:8">
      <c r="B6" s="19"/>
      <c r="C6" s="19"/>
      <c r="D6" s="19"/>
      <c r="E6" s="19"/>
    </row>
    <row r="7" spans="1:8">
      <c r="A7" s="16"/>
    </row>
    <row r="8" spans="1:8">
      <c r="A8" s="22" t="s">
        <v>199</v>
      </c>
      <c r="B8" s="23"/>
      <c r="C8" s="23"/>
      <c r="D8" s="21" t="s">
        <v>198</v>
      </c>
      <c r="F8" s="17" t="s">
        <v>189</v>
      </c>
    </row>
    <row r="9" spans="1:8">
      <c r="A9" t="s">
        <v>26</v>
      </c>
      <c r="D9">
        <f>COUNTIF(Risk_Register!L2:L100,"High*")</f>
        <v>1</v>
      </c>
      <c r="F9" t="s">
        <v>190</v>
      </c>
      <c r="H9">
        <f>COUNTIF(Risk_Treatment_Plan!I2:I100,"Open*")</f>
        <v>8</v>
      </c>
    </row>
    <row r="10" spans="1:8">
      <c r="A10" t="s">
        <v>42</v>
      </c>
      <c r="D10">
        <f>COUNTIF(Risk_Register!L2:L100,"Medium*")</f>
        <v>6</v>
      </c>
      <c r="F10" t="s">
        <v>191</v>
      </c>
      <c r="H10">
        <f>COUNTIF(Risk_Treatment_Plan!I2:I100,"Completed*")</f>
        <v>0</v>
      </c>
    </row>
    <row r="11" spans="1:8">
      <c r="A11" t="s">
        <v>188</v>
      </c>
      <c r="D11">
        <f>COUNTIF(Risk_Register!L2:L100,"Low*")</f>
        <v>0</v>
      </c>
    </row>
    <row r="12" spans="1:8">
      <c r="A12" t="s">
        <v>173</v>
      </c>
      <c r="D12">
        <f>COUNTIF(Risk_Register!L2:L100,"Pending*")</f>
        <v>1</v>
      </c>
    </row>
    <row r="14" spans="1:8">
      <c r="F14" s="17" t="s">
        <v>192</v>
      </c>
    </row>
    <row r="15" spans="1:8">
      <c r="F15" t="s">
        <v>193</v>
      </c>
      <c r="H15">
        <f>COUNTIF(Exception_Register!O2:O100,"Open*")</f>
        <v>2</v>
      </c>
    </row>
    <row r="16" spans="1:8">
      <c r="F16" t="s">
        <v>194</v>
      </c>
      <c r="H16">
        <f>COUNTIF(Exception_Register!L2:L100,"Pending*")</f>
        <v>2</v>
      </c>
    </row>
    <row r="17" spans="1:8">
      <c r="F17" s="15" t="s">
        <v>195</v>
      </c>
      <c r="H17">
        <f ca="1">COUNTIFS(Exception_Register!N2:N100,"&gt;="&amp;TODAY(),Exception_Register!N2:N100,"&lt;="&amp;TODAY()+30)</f>
        <v>1</v>
      </c>
    </row>
    <row r="18" spans="1:8">
      <c r="F18" s="16"/>
    </row>
    <row r="20" spans="1:8">
      <c r="A20" t="s">
        <v>200</v>
      </c>
      <c r="B20" t="s">
        <v>201</v>
      </c>
      <c r="C20" t="s">
        <v>202</v>
      </c>
      <c r="E20" t="s">
        <v>11</v>
      </c>
    </row>
    <row r="21" spans="1:8">
      <c r="A21" s="16" t="s">
        <v>26</v>
      </c>
      <c r="C21">
        <f>COUNTIF(Risk_Register!I2:I100,"High*")</f>
        <v>8</v>
      </c>
      <c r="E21">
        <f>COUNTIF(Risk_Register!L2:L100,"High*")</f>
        <v>1</v>
      </c>
    </row>
    <row r="22" spans="1:8">
      <c r="A22" s="16" t="s">
        <v>42</v>
      </c>
      <c r="C22">
        <f>COUNTIF(Risk_Register!I2:I100,"Medium*")</f>
        <v>0</v>
      </c>
      <c r="E22">
        <f>COUNTIF(Risk_Register!L2:L100,"Medium*")</f>
        <v>6</v>
      </c>
    </row>
    <row r="23" spans="1:8">
      <c r="A23" t="s">
        <v>188</v>
      </c>
      <c r="C23">
        <f>COUNTIF(Risk_Register!I2:I100,"Low*")</f>
        <v>0</v>
      </c>
      <c r="E23">
        <f>COUNTIF(Risk_Register!L2:L100,"Low*")</f>
        <v>0</v>
      </c>
    </row>
    <row r="24" spans="1:8">
      <c r="A24" t="s">
        <v>173</v>
      </c>
      <c r="C24">
        <f>COUNTIF(Risk_Register!I2:I100,"Pending*")</f>
        <v>0</v>
      </c>
      <c r="E24">
        <f>COUNTIF(Risk_Register!L2:L100,"Pending*")</f>
        <v>1</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Risk_Register</vt:lpstr>
      <vt:lpstr>Risk_Treatment_Plan</vt:lpstr>
      <vt:lpstr>Assumptions</vt:lpstr>
      <vt:lpstr>Exception_Register</vt:lpstr>
      <vt:lpstr>ISO27001_Gap_Assessment</vt:lpstr>
      <vt:lpstr>Remediation_Plan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Keya Verma</dc:creator>
  <dc:description/>
  <cp:lastModifiedBy>Keya Verma</cp:lastModifiedBy>
  <cp:revision>0</cp:revision>
  <dcterms:created xsi:type="dcterms:W3CDTF">2026-10-08T10:06:08Z</dcterms:created>
  <dcterms:modified xsi:type="dcterms:W3CDTF">2026-10-23T10:30:55Z</dcterms:modified>
  <dc:language>en-US</dc:language>
</cp:coreProperties>
</file>